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ARAMETROS" sheetId="2" state="visible" r:id="rId4"/>
    <sheet name="01_MPBA_001.9.102305.2021" sheetId="3" state="visible" r:id="rId5"/>
    <sheet name="02_MPBA_001.9.190096.2025" sheetId="4" state="visible" r:id="rId6"/>
    <sheet name="03_MPBA_001.9.24192.2024" sheetId="5" state="visible" r:id="rId7"/>
    <sheet name="04_MPBA_001.9.250850.2021" sheetId="6" state="visible" r:id="rId8"/>
    <sheet name="05_MPBA_001.9.379764.2023" sheetId="7" state="visible" r:id="rId9"/>
    <sheet name="06_MPBA_001.9.52800.2024" sheetId="8" state="visible" r:id="rId10"/>
    <sheet name="07_MPBA_003.9.153337.2023" sheetId="9" state="visible" r:id="rId11"/>
    <sheet name="08_MPBA_003.9.198543.2025" sheetId="10" state="visible" r:id="rId12"/>
    <sheet name="09_MPBA_003.9.476383.2022" sheetId="11" state="visible" r:id="rId13"/>
    <sheet name="10_MPF_.000105-2023" sheetId="12" state="visible" r:id="rId14"/>
    <sheet name="11_MPF_.000183-2023" sheetId="13" state="visible" r:id="rId15"/>
    <sheet name="12_SN_MPF_FNDE_2023" sheetId="14" state="visible" r:id="rId16"/>
    <sheet name="13_MPT_000120.2022" sheetId="15" state="visible" r:id="rId17"/>
    <sheet name="14_MPT_000252.2024" sheetId="16" state="visible" r:id="rId18"/>
    <sheet name="15_MPT_000282.2023" sheetId="17" state="visible" r:id="rId19"/>
    <sheet name="16_MPT_000393.2023" sheetId="18" state="visible" r:id="rId20"/>
    <sheet name="17_TJBA_0006323-71.2012" sheetId="19" state="visible" r:id="rId21"/>
    <sheet name="18_TJBA_8003152-18.2022" sheetId="20" state="visible" r:id="rId22"/>
    <sheet name="19_TJBA_8005263-04.2024" sheetId="21" state="visible" r:id="rId23"/>
    <sheet name="20_TJBA_8005837-61.2023" sheetId="22" state="visible" r:id="rId24"/>
    <sheet name="21_TCM_03973e23" sheetId="23" state="visible" r:id="rId25"/>
    <sheet name="22_SN_CAMPO_DO_RODAO" sheetId="24" state="visible" r:id="rId26"/>
    <sheet name="23_TJBA_0001568-38.2011" sheetId="25" state="visible" r:id="rId27"/>
    <sheet name="24_TJBA_8007670-17.2023" sheetId="26" state="visible" r:id="rId28"/>
    <sheet name="25_TJBA_8008589-69.2024" sheetId="27" state="visible" r:id="rId29"/>
    <sheet name="DEMANDAS-TIPO" sheetId="28" state="visible" r:id="rId30"/>
    <sheet name="FONTES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<sst xmlns="http://schemas.openxmlformats.org/spreadsheetml/2006/main" count="6104" uniqueCount="932">
  <si>
    <t xml:space="preserve">Levantamento paramétrico - demandas de MP, Justiça e TCM (SEINFRA Ilhéus)</t>
  </si>
  <si>
    <t xml:space="preserve">PROVISORIO - aguarda aprovacao</t>
  </si>
  <si>
    <t xml:space="preserve">Estimativa preliminar paramétrica, não vinculante, para planejamento orçamentário. Preços SINAPI-BA 08/2026, não desonerado. Data: 13/10/2026. Levantamentos MP (pacote de 12/10) e Justiça (pacote de 13/10), sem dupla contagem.</t>
  </si>
  <si>
    <t xml:space="preserve">Nº</t>
  </si>
  <si>
    <t xml:space="preserve">Grupo-objeto</t>
  </si>
  <si>
    <t xml:space="preserve">Objeto</t>
  </si>
  <si>
    <t xml:space="preserve">Origem</t>
  </si>
  <si>
    <t xml:space="preserve">Levantamento</t>
  </si>
  <si>
    <t xml:space="preserve">Categoria</t>
  </si>
  <si>
    <t xml:space="preserve">Fonte das quantidades</t>
  </si>
  <si>
    <t xml:space="preserve">Mínimo (R$)</t>
  </si>
  <si>
    <t xml:space="preserve">Provável (R$)</t>
  </si>
  <si>
    <t xml:space="preserve">Máximo (R$)</t>
  </si>
  <si>
    <t xml:space="preserve">Aba</t>
  </si>
  <si>
    <t xml:space="preserve">MPBA_001.9.102305.2021</t>
  </si>
  <si>
    <t xml:space="preserve">Proteção e estabilização do prédio da Sociedade União Protetora dos Artífices e Operários (Centro)</t>
  </si>
  <si>
    <t xml:space="preserve">MPBA</t>
  </si>
  <si>
    <t xml:space="preserve">MP</t>
  </si>
  <si>
    <t xml:space="preserve">outro</t>
  </si>
  <si>
    <t xml:space="preserve">demanda-tipo (medidas do próprio documento)</t>
  </si>
  <si>
    <t xml:space="preserve">01_MPBA_001.9.102305.2021</t>
  </si>
  <si>
    <t xml:space="preserve">MPBA_001.9.190096.2025</t>
  </si>
  <si>
    <t xml:space="preserve">Conclusão de unidades escolares paralisadas (Recomendação MPBA 02/2025)</t>
  </si>
  <si>
    <t xml:space="preserve">escola/creche</t>
  </si>
  <si>
    <t xml:space="preserve">demanda-tipo (unidades não listadas)</t>
  </si>
  <si>
    <t xml:space="preserve">02_MPBA_001.9.190096.2025</t>
  </si>
  <si>
    <t xml:space="preserve">MPBA_001.9.24192.2024</t>
  </si>
  <si>
    <t xml:space="preserve">Requalificação da drenagem pluvial da Av. Soares Lopes</t>
  </si>
  <si>
    <t xml:space="preserve">drenagem</t>
  </si>
  <si>
    <t xml:space="preserve">documento (extensão de 1.600 m)</t>
  </si>
  <si>
    <t xml:space="preserve">03_MPBA_001.9.24192.2024</t>
  </si>
  <si>
    <t xml:space="preserve">MPBA_001.9.250850.2021</t>
  </si>
  <si>
    <t xml:space="preserve">Banheiro com chuveiro e grade na sede do Conselho Municipal de Educação</t>
  </si>
  <si>
    <t xml:space="preserve">demanda-tipo (banheiro-tipo)</t>
  </si>
  <si>
    <t xml:space="preserve">04_MPBA_001.9.250850.2021</t>
  </si>
  <si>
    <t xml:space="preserve">MPBA_001.9.379764.2023</t>
  </si>
  <si>
    <t xml:space="preserve">Valetão aberto pela EMBASA em via pública (local não identificado)</t>
  </si>
  <si>
    <t xml:space="preserve">demanda-tipo (local não identificado)</t>
  </si>
  <si>
    <t xml:space="preserve">05_MPBA_001.9.379764.2023</t>
  </si>
  <si>
    <t xml:space="preserve">MPBA_001.9.52800.2024</t>
  </si>
  <si>
    <t xml:space="preserve">Quadra poliesportiva do distrito de Banco do Pedro</t>
  </si>
  <si>
    <t xml:space="preserve">quadra/esporte</t>
  </si>
  <si>
    <t xml:space="preserve">documento (1 quadra) + demanda-tipo</t>
  </si>
  <si>
    <t xml:space="preserve">06_MPBA_001.9.52800.2024</t>
  </si>
  <si>
    <t xml:space="preserve">MPBA_003.9.153337.2023</t>
  </si>
  <si>
    <t xml:space="preserve">Reforma do Instituto Municipal de Ensino Eusínio Lavigne – IME (Av. Canavieiras, Centro)</t>
  </si>
  <si>
    <t xml:space="preserve">demanda-tipo (área a confirmar)</t>
  </si>
  <si>
    <t xml:space="preserve">07_MPBA_003.9.153337.2023</t>
  </si>
  <si>
    <t xml:space="preserve">MPBA_003.9.198543.2025</t>
  </si>
  <si>
    <t xml:space="preserve">Drenagem da Rua Jardim Alice (Banco da Vitória)</t>
  </si>
  <si>
    <t xml:space="preserve">demanda-tipo (escopo a confirmar)</t>
  </si>
  <si>
    <t xml:space="preserve">08_MPBA_003.9.198543.2025</t>
  </si>
  <si>
    <t xml:space="preserve">MPBA_003.9.476383.2022</t>
  </si>
  <si>
    <t xml:space="preserve">Drenagem da Rua Praia Dourada</t>
  </si>
  <si>
    <t xml:space="preserve">demanda-tipo (rua-tipo)</t>
  </si>
  <si>
    <t xml:space="preserve">09_MPBA_003.9.476383.2022</t>
  </si>
  <si>
    <t xml:space="preserve">MPF_1.14.001.000105-2023</t>
  </si>
  <si>
    <t xml:space="preserve">Contenção de encosta da Rua Alto do Socorro (Conquista)</t>
  </si>
  <si>
    <t xml:space="preserve">MPF</t>
  </si>
  <si>
    <t xml:space="preserve">encosta/contenção</t>
  </si>
  <si>
    <t xml:space="preserve">documento (1.368,32 m², Meta 13 do Novo PAC)</t>
  </si>
  <si>
    <t xml:space="preserve">10_MPF_.000105-2023</t>
  </si>
  <si>
    <t xml:space="preserve">MPF_1.14.001.000183-2023</t>
  </si>
  <si>
    <t xml:space="preserve">96 casas e parques lineares pós-chuvas de 2021 (Salobrinho, Banco da Vitória e Vila Cachoeira)</t>
  </si>
  <si>
    <t xml:space="preserve">habitação</t>
  </si>
  <si>
    <t xml:space="preserve">documento (96 casas e 5 parques lineares)</t>
  </si>
  <si>
    <t xml:space="preserve">11_MPF_.000183-2023</t>
  </si>
  <si>
    <t xml:space="preserve">SN_MPF-OBRAS_FNDE_2023</t>
  </si>
  <si>
    <t xml:space="preserve">Obras FNDE: Escola Vila Lídia, Quadra do Vilela e Creche Nossa Senhora da Vitória</t>
  </si>
  <si>
    <t xml:space="preserve">demanda-tipo (situação das obras não informada)</t>
  </si>
  <si>
    <t xml:space="preserve">12_SN_MPF_FNDE_2023</t>
  </si>
  <si>
    <t xml:space="preserve">MPT_000120.2022.05.001.7</t>
  </si>
  <si>
    <t xml:space="preserve">Condições de trabalho e reforma do prédio do SAMU de Ilhéus</t>
  </si>
  <si>
    <t xml:space="preserve">MPT</t>
  </si>
  <si>
    <t xml:space="preserve">13_MPT_000120.2022</t>
  </si>
  <si>
    <t xml:space="preserve">MPT_000252.2024.05.001.5</t>
  </si>
  <si>
    <t xml:space="preserve">Condições do prédio do Arquivo Público Municipal</t>
  </si>
  <si>
    <t xml:space="preserve">14_MPT_000252.2024</t>
  </si>
  <si>
    <t xml:space="preserve">MPT_000282.2023.05.001.4</t>
  </si>
  <si>
    <t xml:space="preserve">Condições estruturais da Clínica Municipal de Atendimento Especializado - CMAE (Av. Canavieiras)</t>
  </si>
  <si>
    <t xml:space="preserve">15_MPT_000282.2023</t>
  </si>
  <si>
    <t xml:space="preserve">MPT_000393.2023.05.001.6</t>
  </si>
  <si>
    <t xml:space="preserve">Cozinhas e áreas de limpeza das escolas municipais (saúde e segurança do trabalho)</t>
  </si>
  <si>
    <t xml:space="preserve">16_MPT_000393.2023</t>
  </si>
  <si>
    <t xml:space="preserve">JUSTICA_0006323-71.2012.8.05.0103</t>
  </si>
  <si>
    <t xml:space="preserve">Requalificação do Estádio Municipal Mário Pessoa (Cidade Nova) – TAC</t>
  </si>
  <si>
    <t xml:space="preserve">Justiça</t>
  </si>
  <si>
    <t xml:space="preserve">demanda-tipo (itens do TAC)</t>
  </si>
  <si>
    <t xml:space="preserve">17_TJBA_0006323-71.2012</t>
  </si>
  <si>
    <t xml:space="preserve">JUSTICA_8003152-18.2022.8.05.0103</t>
  </si>
  <si>
    <t xml:space="preserve">Drenagem pluvial e alagamentos nas Ruas Castro Alves e Barão do Rio Branco (Pontal)</t>
  </si>
  <si>
    <t xml:space="preserve">demanda-tipo (duas ruas)</t>
  </si>
  <si>
    <t xml:space="preserve">18_TJBA_8003152-18.2022</t>
  </si>
  <si>
    <t xml:space="preserve">JUSTICA_8005263-04.2024.8.05.0103</t>
  </si>
  <si>
    <t xml:space="preserve">Drenagem e pavimentação da Rua Aracuã (Nossa Senhora das Vitórias)</t>
  </si>
  <si>
    <t xml:space="preserve">drenagem+pavimentação</t>
  </si>
  <si>
    <t xml:space="preserve">19_TJBA_8005263-04.2024</t>
  </si>
  <si>
    <t xml:space="preserve">JUSTICA_8005837-61.2023.8.05.0103</t>
  </si>
  <si>
    <t xml:space="preserve">Abrigos de ônibus da Rodovia Jorge Amado (BR-415), perto do IFBA</t>
  </si>
  <si>
    <t xml:space="preserve">demanda-tipo (abrigo-tipo)</t>
  </si>
  <si>
    <t xml:space="preserve">20_TJBA_8005837-61.2023</t>
  </si>
  <si>
    <t xml:space="preserve">TCM_03973e23-CRECHE_TEOTONIO_VILELA</t>
  </si>
  <si>
    <t xml:space="preserve">Creche Municipal Padrão de 6 salas da Rua Genésio Santos (Teotônio Vilela)</t>
  </si>
  <si>
    <t xml:space="preserve">TCM</t>
  </si>
  <si>
    <t xml:space="preserve">documento (6 salas) + demanda-tipo</t>
  </si>
  <si>
    <t xml:space="preserve">21_TCM_03973e23</t>
  </si>
  <si>
    <t xml:space="preserve">SN_COMPLEXO_ESPORTIVO_CAMPO_DO_RODAO</t>
  </si>
  <si>
    <t xml:space="preserve">Requalificação e ampliação do Complexo Esportivo Campo do Rodão (Teotônio Vilela)</t>
  </si>
  <si>
    <t xml:space="preserve">demanda-tipo (campo-tipo)</t>
  </si>
  <si>
    <t xml:space="preserve">22_SN_CAMPO_DO_RODAO</t>
  </si>
  <si>
    <t xml:space="preserve">JUSTICA_0001568-38.2011.8.05.0103</t>
  </si>
  <si>
    <t xml:space="preserve">Infraestrutura básica do Loteamento Santa Cruz (cumprimento de sentença)</t>
  </si>
  <si>
    <t xml:space="preserve">demanda-tipo (extensão de vias a confirmar)</t>
  </si>
  <si>
    <t xml:space="preserve">23_TJBA_0001568-38.2011</t>
  </si>
  <si>
    <t xml:space="preserve">JUSTICA_8007670-17.2023.8.05.0103</t>
  </si>
  <si>
    <t xml:space="preserve">Estabilização de encosta da Ladeira Júlio Bagana / Rua Rio Almada (Tapera)</t>
  </si>
  <si>
    <t xml:space="preserve">demanda-tipo (área da encosta a confirmar)</t>
  </si>
  <si>
    <t xml:space="preserve">24_TJBA_8007670-17.2023</t>
  </si>
  <si>
    <t xml:space="preserve">JUSTICA_8008589-69.2024.8.05.0103</t>
  </si>
  <si>
    <t xml:space="preserve">Unidade de Acolhimento Renascer: projeto de incêndio e reforma (Conquista)</t>
  </si>
  <si>
    <t xml:space="preserve">25_TJBA_8008589-69.2024</t>
  </si>
  <si>
    <t xml:space="preserve">TOTAL GERAL</t>
  </si>
  <si>
    <t xml:space="preserve">TOTAIS MP, JUSTIÇA E GERAL (MP = pacote do MP de 12/10, inclui processos judiciais e TCM nele; Justiça = objetos novos do pacote da Justiça de 13/10)</t>
  </si>
  <si>
    <t xml:space="preserve">Chave</t>
  </si>
  <si>
    <t xml:space="preserve">Objetos</t>
  </si>
  <si>
    <t xml:space="preserve">GERAL (MP + Justiça, sem dupla contagem)</t>
  </si>
  <si>
    <t xml:space="preserve">Objetos "orçamento paramétrico" da Justiça já calculados no MP (não somados de novo; valor da aba do MP)</t>
  </si>
  <si>
    <t xml:space="preserve">Requalificação do Estádio Municipal Mário Pessoa (Cidade Nova) – TAC de 2012</t>
  </si>
  <si>
    <t xml:space="preserve">no MP: JUSTICA_0006323-71.2012.8.05.0103</t>
  </si>
  <si>
    <t xml:space="preserve">Abrigos de ônibus na Rodovia Jorge Amado (BR-415), perto do IFBA</t>
  </si>
  <si>
    <t xml:space="preserve">no MP: JUSTICA_8005837-61.2023.8.05.0103</t>
  </si>
  <si>
    <t xml:space="preserve">TCM_03973e23</t>
  </si>
  <si>
    <t xml:space="preserve">no MP: TCM_03973e23-CRECHE_TEOTONIO_VILELA</t>
  </si>
  <si>
    <t xml:space="preserve">Total por origem</t>
  </si>
  <si>
    <t xml:space="preserve">Soma (confere com o total geral)</t>
  </si>
  <si>
    <t xml:space="preserve">Total por categoria</t>
  </si>
  <si>
    <t xml:space="preserve">Leitura: o valor "provável" é a referência para reserva orçamentária; mínimo e máximo dão a faixa de incerteza.</t>
  </si>
  <si>
    <t xml:space="preserve">Quantidades: metragem do documento quando existe; nos demais casos, demanda-tipo com premissas na aba de cada objeto (a confirmar em campo/projeto).</t>
  </si>
  <si>
    <t xml:space="preserve">BDI, contingência e fator regional: aba PARAMETROS (PROVISORIO - aguarda aprovacao).</t>
  </si>
  <si>
    <t xml:space="preserve">Origem "outro" = processo interno "Resposta Ministério Público" sem indicação do ramo do MP (somado em MP).</t>
  </si>
  <si>
    <t xml:space="preserve">Justiça: só os objetos "orçamento paramétrico" do pacote da Justiça que não estavam calculados no MP (triagem_provisoria_justica.json). A triagem do MP não foi alterada.</t>
  </si>
  <si>
    <t xml:space="preserve">Não usar como orçamento de licitação. Estimativa não vinculante, com SINAPI como base oficial de referência, nos termos da Lei n. 14.133/2021 e do Decreto Municipal n. 269/2025.</t>
  </si>
  <si>
    <t xml:space="preserve">Parâmetros da estimativa (BDI, contingência e fator regional)</t>
  </si>
  <si>
    <t xml:space="preserve">Custo = Σ(Quantidade × Preço unitário) × (1 + BDI) × (1 + Contingência) × Fator regional. Células amarelas: valores a aprovar.</t>
  </si>
  <si>
    <t xml:space="preserve">Parâmetro</t>
  </si>
  <si>
    <t xml:space="preserve">Mínimo</t>
  </si>
  <si>
    <t xml:space="preserve">Provável</t>
  </si>
  <si>
    <t xml:space="preserve">Máximo</t>
  </si>
  <si>
    <t xml:space="preserve">Fonte / justificativa</t>
  </si>
  <si>
    <t xml:space="preserve">BDI - edificações, encostas, quadras e outros</t>
  </si>
  <si>
    <t xml:space="preserve">Acórdão n. 2.622/2013-TCU-Plenário, "construção de edifícios": 1º quartil / médio / 3º quartil (sem CPRB; regime não desonerado).</t>
  </si>
  <si>
    <t xml:space="preserve">BDI - pavimentação e drenagem de vias</t>
  </si>
  <si>
    <t xml:space="preserve">Acórdão n. 2.622/2013-TCU-Plenário, "construção de rodovias e ferrovias": 1º quartil / médio / 3º quartil (sem CPRB).</t>
  </si>
  <si>
    <t xml:space="preserve">Contingência (projeto, sondagem, topografia, licenciamento, fiscalização)</t>
  </si>
  <si>
    <t xml:space="preserve">Parâmetro técnico declarado; teto de referência: precisão de ±30% para estudos preliminares (OT-IBR 004/2012, IBRAOP).</t>
  </si>
  <si>
    <t xml:space="preserve">Fator regional</t>
  </si>
  <si>
    <t xml:space="preserve">SINAPI coleta preços na capital (Salvador). Máximo cobre frete até Ilhéus, acesso difícil e mobilização (parâmetro declarado).</t>
  </si>
  <si>
    <t xml:space="preserve">Preços unitários: SINAPI/CAIXA, ref. 08/2026, Bahia (localidade Salvador), regime não desonerado; encargos sociais horista 117,73% e mensalista 72,85%.</t>
  </si>
  <si>
    <t xml:space="preserve">Ver proposta_bdi_contingencia_fator.md para as fontes conferidas e as limitações da conferência.</t>
  </si>
  <si>
    <t xml:space="preserve">01 - Proteção e estabilização do prédio da Sociedade União Protetora dos Artífices e Operários (Centro)</t>
  </si>
  <si>
    <t xml:space="preserve">Local</t>
  </si>
  <si>
    <t xml:space="preserve">Praça José Marcelino, s/n, Centro</t>
  </si>
  <si>
    <t xml:space="preserve">Preços</t>
  </si>
  <si>
    <t xml:space="preserve">SINAPI/CAIXA ref. 08/2026, BA, não desonerado (código de cada item na coluna B)</t>
  </si>
  <si>
    <t xml:space="preserve">BDI aplicado</t>
  </si>
  <si>
    <t xml:space="preserve">edificações (Acórdão 2.622/2013, construção de edifícios)</t>
  </si>
  <si>
    <t xml:space="preserve">Premissas</t>
  </si>
  <si>
    <t xml:space="preserve">Medidas citadas no documento: tapumes, escoramento da fachada com estroncas de eucalipto, rede de proteção e lona na cobertura.</t>
  </si>
  <si>
    <t xml:space="preserve">Fachada 150/250/400 m², cobertura 250/350/500 m², 30/40/60 estroncas (premissa; medir no local).</t>
  </si>
  <si>
    <t xml:space="preserve">Cenário máximo inclui início da estabilização/recuperação (reforma pesada de 500 m²). Restauro de prédio histórico não está incluído.</t>
  </si>
  <si>
    <t xml:space="preserve">Locação do andaime e da tela não têm preço no SINAPI-BA usado; só montagem e colocação.</t>
  </si>
  <si>
    <t xml:space="preserve">Macroetapa</t>
  </si>
  <si>
    <t xml:space="preserve">Código SINAPI</t>
  </si>
  <si>
    <t xml:space="preserve">Tipo</t>
  </si>
  <si>
    <t xml:space="preserve">Descrição</t>
  </si>
  <si>
    <t xml:space="preserve">Unid.</t>
  </si>
  <si>
    <t xml:space="preserve">Preço unit. (R$)</t>
  </si>
  <si>
    <t xml:space="preserve">Qtd. mínimo</t>
  </si>
  <si>
    <t xml:space="preserve">Qtd. provável</t>
  </si>
  <si>
    <t xml:space="preserve">Qtd. máximo</t>
  </si>
  <si>
    <t xml:space="preserve">Total mínimo (R$)</t>
  </si>
  <si>
    <t xml:space="preserve">Total provável (R$)</t>
  </si>
  <si>
    <t xml:space="preserve">Total máximo (R$)</t>
  </si>
  <si>
    <t xml:space="preserve">Memória de cálculo</t>
  </si>
  <si>
    <t xml:space="preserve">1. Isolamento</t>
  </si>
  <si>
    <t xml:space="preserve">98458</t>
  </si>
  <si>
    <t xml:space="preserve">SINAPI composição</t>
  </si>
  <si>
    <t xml:space="preserve">TAPUME COM COMPENSADO DE MADEIRA. AF_03/2024</t>
  </si>
  <si>
    <t xml:space="preserve">M2</t>
  </si>
  <si>
    <t xml:space="preserve">tapume de compensado no perímetro frontal</t>
  </si>
  <si>
    <t xml:space="preserve">2. Escoramento da fachada</t>
  </si>
  <si>
    <t xml:space="preserve">14439</t>
  </si>
  <si>
    <t xml:space="preserve">SINAPI insumo</t>
  </si>
  <si>
    <t xml:space="preserve">PONTALETE ROLICO SEM TRATAMENTO, D = 8 A 11 CM, H = 6 M, EM EUCALIPTO OU EQUIVALENTE DA REGIAO - BRUTA (PARA ESCORAMENTO)</t>
  </si>
  <si>
    <t xml:space="preserve">M</t>
  </si>
  <si>
    <t xml:space="preserve">estroncas de eucalipto 6 m</t>
  </si>
  <si>
    <t xml:space="preserve">88262</t>
  </si>
  <si>
    <t xml:space="preserve">CARPINTEIRO DE FORMAS COM ENCARGOS COMPLEMENTARES</t>
  </si>
  <si>
    <t xml:space="preserve">H</t>
  </si>
  <si>
    <t xml:space="preserve">carpinteiro, 2 h por estronca</t>
  </si>
  <si>
    <t xml:space="preserve">88316</t>
  </si>
  <si>
    <t xml:space="preserve">SERVENTE COM ENCARGOS COMPLEMENTARES</t>
  </si>
  <si>
    <t xml:space="preserve">servente, 2 h por estronca</t>
  </si>
  <si>
    <t xml:space="preserve">3. Proteção da fachada</t>
  </si>
  <si>
    <t xml:space="preserve">97063</t>
  </si>
  <si>
    <t xml:space="preserve">MONTAGEM E DESMONTAGEM DE ANDAIME MODULAR FACHADEIRO, COM PISO METÁLICO, PARA EDIFÍCIOS COM MULTIPLOS PAVIMENTOS (EXCLUSIVE ANDAIME E LIMPEZA). AF_03/2024</t>
  </si>
  <si>
    <t xml:space="preserve">montagem/desmontagem de andaime fachadeiro (exclusive locação)</t>
  </si>
  <si>
    <t xml:space="preserve">97062</t>
  </si>
  <si>
    <t xml:space="preserve">COLOCAÇÃO DE TELA EM ANDAIME FACHADEIRO. AF_03/2024</t>
  </si>
  <si>
    <t xml:space="preserve">colocação de tela de proteção na fachada</t>
  </si>
  <si>
    <t xml:space="preserve">4. Proteção da cobertura</t>
  </si>
  <si>
    <t xml:space="preserve">42408</t>
  </si>
  <si>
    <t xml:space="preserve">LONA PLASTICA EXTRA FORTE PRETA, E = 200 MICRA</t>
  </si>
  <si>
    <t xml:space="preserve">lona plástica 200 micra (+10% de transpasse)</t>
  </si>
  <si>
    <t xml:space="preserve">servente para colocar a lona</t>
  </si>
  <si>
    <t xml:space="preserve">Início da estabilização/recuperação - 1. Serviços preliminares</t>
  </si>
  <si>
    <t xml:space="preserve">103689</t>
  </si>
  <si>
    <t xml:space="preserve">FORNECIMENTO E INSTALAÇÃO DE PLACA DE OBRA COM CHAPA GALVANIZADA E ESTRUTURA DE MADEIRA. AF_03/2022_PS</t>
  </si>
  <si>
    <t xml:space="preserve">placa de obra</t>
  </si>
  <si>
    <t xml:space="preserve">Início da estabilização/recuperação - 2. Demolições e retiradas</t>
  </si>
  <si>
    <t xml:space="preserve">97647</t>
  </si>
  <si>
    <t xml:space="preserve">REMOÇÃO DE TELHAS DE FIBROCIMENTO METÁLICA E CERÂMICA, DE FORMA MANUAL, SEM REAPROVEITAMENTO. AF_09/2023</t>
  </si>
  <si>
    <t xml:space="preserve">remoção de telhas</t>
  </si>
  <si>
    <t xml:space="preserve">97650</t>
  </si>
  <si>
    <t xml:space="preserve">REMOÇÃO DE TRAMA DE MADEIRA PARA COBERTURA, DE FORMA MANUAL, SEM REAPROVEITAMENTO. AF_09/2023</t>
  </si>
  <si>
    <t xml:space="preserve">remoção de trama de madeira (metade da área refeita)</t>
  </si>
  <si>
    <t xml:space="preserve">97640</t>
  </si>
  <si>
    <t xml:space="preserve">REMOÇÃO DE FORROS DE DRYWALL, PVC E FIBROMINERAL, DE FORMA MANUAL, SEM REAPROVEITAMENTO. AF_09/2023</t>
  </si>
  <si>
    <t xml:space="preserve">remoção de forro</t>
  </si>
  <si>
    <t xml:space="preserve">97634</t>
  </si>
  <si>
    <t xml:space="preserve">DEMOLIÇÃO DE REVESTIMENTO CERÂMICO, DE FORMA MECANIZADA COM MARTELETE, SEM REAPROVEITAMENTO. AF_09/2023</t>
  </si>
  <si>
    <t xml:space="preserve">demolição de piso cerâmico</t>
  </si>
  <si>
    <t xml:space="preserve">97633</t>
  </si>
  <si>
    <t xml:space="preserve">DEMOLIÇÃO DE REVESTIMENTO CERÂMICO, DE FORMA MANUAL, SEM REAPROVEITAMENTO. AF_09/2023</t>
  </si>
  <si>
    <t xml:space="preserve">demolição de revestimento de parede</t>
  </si>
  <si>
    <t xml:space="preserve">97645</t>
  </si>
  <si>
    <t xml:space="preserve">REMOÇÃO DE JANELAS, DE FORMA MANUAL, SEM REAPROVEITAMENTO. AF_09/2023</t>
  </si>
  <si>
    <t xml:space="preserve">remoção de janelas</t>
  </si>
  <si>
    <t xml:space="preserve">Início da estabilização/recuperação - 3. Cobertura e forro</t>
  </si>
  <si>
    <t xml:space="preserve">92539</t>
  </si>
  <si>
    <t xml:space="preserve">TRAMA DE MADEIRA COMPOSTA POR RIPAS, CAIBROS E TERÇAS PARA TELHADOS DE ATÉ 2 ÁGUAS PARA TELHA CERÂMICA OU DE CONCRETO, INCLUSO TRANSPORTE VERTICAL. AF_10/2025</t>
  </si>
  <si>
    <t xml:space="preserve">trama de madeira nova</t>
  </si>
  <si>
    <t xml:space="preserve">94440</t>
  </si>
  <si>
    <t xml:space="preserve">TELHAMENTO COM TELHA CERÂMICA DE ENCAIXE, TIPO FRANCESA, COM ATÉ 2 ÁGUAS, INCLUSO TRANSPORTE VERTICAL. AF_06/2026</t>
  </si>
  <si>
    <t xml:space="preserve">telha cerâmica nova</t>
  </si>
  <si>
    <t xml:space="preserve">96116</t>
  </si>
  <si>
    <t xml:space="preserve">FORRO EM RÉGUAS DE PVC, FRISADO, PARA AMBIENTES COMERCIAIS, INCLUSIVE ESTRUTURA BIDIRECIONAL DE FIXAÇÃO. AF_08/2023_PS</t>
  </si>
  <si>
    <t xml:space="preserve">forro de PVC novo</t>
  </si>
  <si>
    <t xml:space="preserve">Início da estabilização/recuperação - 4. Revestimentos e pisos</t>
  </si>
  <si>
    <t xml:space="preserve">87879</t>
  </si>
  <si>
    <t xml:space="preserve">CHAPISCO APLICADO EM ALVENARIAS E ESTRUTURAS DE CONCRETO INTERNAS, COM COLHER DE PEDREIRO. ARGAMASSA TRAÇO 1:3 COM PREPARO EM BETONEIRA 400L. AF_10/2022</t>
  </si>
  <si>
    <t xml:space="preserve">chapisco em paredes recuperadas</t>
  </si>
  <si>
    <t xml:space="preserve">104958</t>
  </si>
  <si>
    <t xml:space="preserve">MASSA ÚNICA, EM ARGAMASSA TRAÇO 1:2:8 PREPARO MECÂNICO, APLICADA MANUALMENTE EM PAREDES INTERNAS DE AMBIENTES COM ÁREA MAIOR QUE 10M², E = 10MM, COM TALISCAS. AF_03/2024</t>
  </si>
  <si>
    <t xml:space="preserve">massa única em paredes recuperadas</t>
  </si>
  <si>
    <t xml:space="preserve">87265</t>
  </si>
  <si>
    <t xml:space="preserve">REVESTIMENTO CERÂMICO PARA PAREDES INTERNAS COM PLACAS TIPO ESMALTADA DE DIMENSÕES 20X20 CM APLICADAS NA ALTURA INTEIRA DAS PAREDES. AF_02/2023_PE</t>
  </si>
  <si>
    <t xml:space="preserve">revestimento cerâmico de parede</t>
  </si>
  <si>
    <t xml:space="preserve">98680</t>
  </si>
  <si>
    <t xml:space="preserve">PISO CIMENTADO, TRAÇO 1:5 (CIMENTO E AREIA), ACABAMENTO LISO, ESPESSURA 3,0 CM, PREPARO MECÂNICO DA ARGAMASSA. AF_02/2026</t>
  </si>
  <si>
    <t xml:space="preserve">regularização de piso</t>
  </si>
  <si>
    <t xml:space="preserve">87248</t>
  </si>
  <si>
    <t xml:space="preserve">REVESTIMENTO CERÂMICO PARA PISO COM PLACAS TIPO ESMALTADA DE DIMENSÕES 35X35 CM APLICADA EM AMBIENTES DE ÁREA MAIOR QUE 10 M2. AF_02/2023_PE</t>
  </si>
  <si>
    <t xml:space="preserve">piso cerâmico novo</t>
  </si>
  <si>
    <t xml:space="preserve">Início da estabilização/recuperação - 5. Pintura</t>
  </si>
  <si>
    <t xml:space="preserve">104642</t>
  </si>
  <si>
    <t xml:space="preserve">PINTURA LÁTEX ACRÍLICA STANDARD, APLICAÇÃO MANUAL EM PAREDES, DUAS DEMÃOS. AF_04/2023</t>
  </si>
  <si>
    <t xml:space="preserve">pintura de todas as paredes</t>
  </si>
  <si>
    <t xml:space="preserve">104640</t>
  </si>
  <si>
    <t xml:space="preserve">PINTURA LÁTEX ACRÍLICA STANDARD, APLICAÇÃO MANUAL EM TETO, DUAS DEMÃOS. AF_04/2023</t>
  </si>
  <si>
    <t xml:space="preserve">pintura de tetos sem forro</t>
  </si>
  <si>
    <t xml:space="preserve">Início da estabilização/recuperação - 6. Esquadrias</t>
  </si>
  <si>
    <t xml:space="preserve">94570</t>
  </si>
  <si>
    <t xml:space="preserve">JANELA DE ALUMÍNIO DE CORRER COM 2 FOLHAS PARA VIDROS (VIDROS INCLUSOS), BATENTE/ REQUADRO 6 A 14 CM, ACABAMENTO COM ACETATO OU BRILHANTE, FIXAÇÃO COM PARAFUSO, SEM GUARNIÇÃO/ ALIZAR, DIMENSÕES 100X120 CM, VEDAÇÃO COM SILICONE, EXCLUSIVE CONTRAMARCO - FORNECIMENTO E INSTALAÇÃO. AF_11/2024</t>
  </si>
  <si>
    <t xml:space="preserve">janelas novas</t>
  </si>
  <si>
    <t xml:space="preserve">91332</t>
  </si>
  <si>
    <t xml:space="preserve">KIT DE PORTA DE MADEIRA FRISADA, SEMI-OCA (LEVE OU MÉDIA), PADRÃO MÉDIO, 80X210CM, ESPESSURA DE 3,5CM, ITENS INCLUSOS: DOBRADIÇAS, MONTAGEM E INSTALAÇÃO DO BATENTE, SEM FECHADURA - FORNECIMENTO E INSTALAÇÃO. AF_10/2025</t>
  </si>
  <si>
    <t xml:space="preserve">UN</t>
  </si>
  <si>
    <t xml:space="preserve">portas novas</t>
  </si>
  <si>
    <t xml:space="preserve">Início da estabilização/recuperação - 7. Instalações</t>
  </si>
  <si>
    <t xml:space="preserve">92023</t>
  </si>
  <si>
    <t xml:space="preserve">INTERRUPTOR SIMPLES (1 MÓDULO) COM 1 TOMADA DE EMBUTIR 2P+T 10 A, INCLUINDO SUPORTE E PLACA - FORNECIMENTO E INSTALAÇÃO. AF_03/2023</t>
  </si>
  <si>
    <t xml:space="preserve">pontos elétricos refeitos</t>
  </si>
  <si>
    <t xml:space="preserve">103782</t>
  </si>
  <si>
    <t xml:space="preserve">LUMINÁRIA TIPO PLAFON CIRCULAR, DE SOBREPOR, COM LED DE 12/13 W - FORNECIMENTO E INSTALAÇÃO. AF_09/2024</t>
  </si>
  <si>
    <t xml:space="preserve">luminárias novas</t>
  </si>
  <si>
    <t xml:space="preserve">91926</t>
  </si>
  <si>
    <t xml:space="preserve">CABO DE COBRE FLEXÍVEL ISOLADO, 2,5 MM², ANTI-CHAMA 450/750 V, PARA CIRCUITOS TERMINAIS - FORNECIMENTO E INSTALAÇÃO. AF_03/2023</t>
  </si>
  <si>
    <t xml:space="preserve">cabos 2,5 mm²</t>
  </si>
  <si>
    <t xml:space="preserve">91854</t>
  </si>
  <si>
    <t xml:space="preserve">ELETRODUTO FLEXÍVEL CORRUGADO, PVC, DN 25 MM (3/4"), PARA CIRCUITOS TERMINAIS, INSTALADO EM PAREDE - FORNECIMENTO E INSTALAÇÃO. AF_03/2023</t>
  </si>
  <si>
    <t xml:space="preserve">eletrodutos</t>
  </si>
  <si>
    <t xml:space="preserve">101879</t>
  </si>
  <si>
    <t xml:space="preserve">QUADRO DE DISTRIBUIÇÃO DE ENERGIA EM CHAPA DE AÇO GALVANIZADO, DE EMBUTIR, COM BARRAMENTO TRIFÁSICO, PARA 24 DISJUNTORES DIN 100A - FORNECIMENTO E INSTALAÇÃO. AF_07/2025</t>
  </si>
  <si>
    <t xml:space="preserve">quadros de distribuição</t>
  </si>
  <si>
    <t xml:space="preserve">86931</t>
  </si>
  <si>
    <t xml:space="preserve">BACIA SANITÁRIA COM CAIXA ACOPLADA LOUÇA BRANCA, INCLUSO ENGATE FLEXÍVEL EM PLÁSTICO BRANCO, 1/2" X 40 CM - FORNECIMENTO E INSTALAÇÃO. AF_02/2026</t>
  </si>
  <si>
    <t xml:space="preserve">bacias sanitárias</t>
  </si>
  <si>
    <t xml:space="preserve">86902</t>
  </si>
  <si>
    <t xml:space="preserve">LAVATÓRIO LOUÇA BRANCA COM COLUNA, *44 X 35* CM, PADRÃO POPULAR - FORNECIMENTO E INSTALAÇÃO. AF_02/2026</t>
  </si>
  <si>
    <t xml:space="preserve">lavatórios</t>
  </si>
  <si>
    <t xml:space="preserve">89714</t>
  </si>
  <si>
    <t xml:space="preserve">TUBO PVC, SERIE NORMAL, ESGOTO PREDIAL, DN 100 MM, FORNECIDO E INSTALADO EM RAMAL DE DESCARGA OU RAMAL DE ESGOTO SANITÁRIO. AF_08/2022</t>
  </si>
  <si>
    <t xml:space="preserve">ramais de esgoto</t>
  </si>
  <si>
    <t xml:space="preserve">Início da estabilização/recuperação - 8. Prevenção contra incêndio</t>
  </si>
  <si>
    <t xml:space="preserve">101909</t>
  </si>
  <si>
    <t xml:space="preserve">EXTINTOR DE INCÊNDIO PORTÁTIL COM CARGA DE PQS DE 6 KG, CLASSE BC - FORNECIMENTO E INSTALAÇÃO. AF_01/2026_PE</t>
  </si>
  <si>
    <t xml:space="preserve">extintores</t>
  </si>
  <si>
    <t xml:space="preserve">97599</t>
  </si>
  <si>
    <t xml:space="preserve">LUMINÁRIA DE EMERGÊNCIA, COM 30 LÂMPADAS LED DE 2 W, SEM REATOR - FORNECIMENTO E INSTALAÇÃO. AF_09/2024</t>
  </si>
  <si>
    <t xml:space="preserve">luminárias de emergência</t>
  </si>
  <si>
    <t xml:space="preserve">37556</t>
  </si>
  <si>
    <t xml:space="preserve">PLACA DE SINALIZACAO DE SEGURANCA CONTRA INCENDIO, FOTOLUMINESCENTE, QUADRADA, *20 X 20* CM, EM PVC *2* MM ANTI-CHAMAS (SIMBOLOS, CORES E PICTOGRAMAS CONFORME NBR 16820)</t>
  </si>
  <si>
    <t xml:space="preserve">placas de rota de fuga</t>
  </si>
  <si>
    <t xml:space="preserve">Início da estabilização/recuperação - 9. Entulho</t>
  </si>
  <si>
    <t xml:space="preserve">100982</t>
  </si>
  <si>
    <t xml:space="preserve">CARGA, MANOBRA E DESCARGA DE ENTULHO EM CAMINHÃO BASCULANTE 10 M³ - CARGA COM ESCAVADEIRA HIDRÁULICA (CAÇAMBA DE 0,80 M³ / 111 HP) E DESCARGA LIVRE (UNIDADE: M3). AF_02/2026</t>
  </si>
  <si>
    <t xml:space="preserve">M3</t>
  </si>
  <si>
    <t xml:space="preserve">carga de entulho, 0,05 m³/m²</t>
  </si>
  <si>
    <t xml:space="preserve">95875</t>
  </si>
  <si>
    <t xml:space="preserve">TRANSPORTE COM CAMINHÃO BASCULANTE DE 10 M³, EM VIA URBANA PAVIMENTADA, DMT ATÉ 30 KM (UNIDADE: M3XKM). AF_02/2026</t>
  </si>
  <si>
    <t xml:space="preserve">M3XKM</t>
  </si>
  <si>
    <t xml:space="preserve">transporte de entulho, DMT 10 km</t>
  </si>
  <si>
    <t xml:space="preserve">Custo direto</t>
  </si>
  <si>
    <t xml:space="preserve">BDI</t>
  </si>
  <si>
    <t xml:space="preserve">Contingência</t>
  </si>
  <si>
    <t xml:space="preserve">TOTAL ESTIMADO (R$)</t>
  </si>
  <si>
    <t xml:space="preserve">Estimativa preliminar paramétrica, não vinculante, para planejamento orçamentário. Não substitui o orçamento detalhado do projeto. PROVISORIO - aguarda aprovacao</t>
  </si>
  <si>
    <t xml:space="preserve">02 - Conclusão de unidades escolares paralisadas (Recomendação MPBA 02/2025)</t>
  </si>
  <si>
    <t xml:space="preserve">Rede municipal de ensino de Ilhéus (cita a Escola Municipal Vovó Isaac, Rua do Cano)</t>
  </si>
  <si>
    <t xml:space="preserve">A Recomendação não lista as escolas; foi estimada só a conclusão da Escola Municipal Vovó Isaac (citada).</t>
  </si>
  <si>
    <t xml:space="preserve">Escola de 600/800/1.000 m² com remanescente de 30/50/70% (área equivalente 180/400/700 m²).</t>
  </si>
  <si>
    <t xml:space="preserve">Edificação térrea-tipo por m²: concreto 0,12 m³/m², aço 10 kg/m², fôrma 1,1 m²/m², alvenaria 1,5 m²/m², cobertura em telha cerâmica (1,25 m²/m²), forro de PVC, piso cerâmico, 1 porta a cada 15 m², janelas 0,15 m²/m², instalações simplificadas.</t>
  </si>
  <si>
    <t xml:space="preserve">1. Serviços preliminares</t>
  </si>
  <si>
    <t xml:space="preserve">99059</t>
  </si>
  <si>
    <t xml:space="preserve">LOCAÇÃO CONVENCIONAL DE OBRA, UTILIZANDO GABARITO DE TÁBUAS CORRIDAS PONTALETADAS A CADA 2,00M - 2 UTILIZAÇÕES. AF_03/2024</t>
  </si>
  <si>
    <t xml:space="preserve">locação de obra, 0,25 m de gabarito por m²</t>
  </si>
  <si>
    <t xml:space="preserve">2. Fundação e estrutura</t>
  </si>
  <si>
    <t xml:space="preserve">93358</t>
  </si>
  <si>
    <t xml:space="preserve">ESCAVAÇÃO MANUAL DE VALA. AF_09/2024</t>
  </si>
  <si>
    <t xml:space="preserve">escavação manual, 0,08 m³/m²</t>
  </si>
  <si>
    <t xml:space="preserve">103672</t>
  </si>
  <si>
    <t xml:space="preserve">CONCRETAGEM DE PILARES, FCK = 25 MPA, COM USO DE BOMBA - LANÇAMENTO, ADENSAMENTO E ACABAMENTO. AF_02/2022_PS</t>
  </si>
  <si>
    <t xml:space="preserve">concreto estrutural fck 25 MPa, 0,12 m³/m²</t>
  </si>
  <si>
    <t xml:space="preserve">92762</t>
  </si>
  <si>
    <t xml:space="preserve">ARMAÇÃO DE PILAR OU VIGA DE ESTRUTURA CONVENCIONAL DE CONCRETO ARMADO UTILIZANDO AÇO CA-50 DE 10,0 MM - MONTAGEM. AF_06/2022</t>
  </si>
  <si>
    <t xml:space="preserve">KG</t>
  </si>
  <si>
    <t xml:space="preserve">armação CA-50, 10 kg/m²</t>
  </si>
  <si>
    <t xml:space="preserve">92421</t>
  </si>
  <si>
    <t xml:space="preserve">MONTAGEM E DESMONTAGEM DE FÔRMA DE PILARES RETANGULARES E ESTRUTURAS SIMILARES, PÉ-DIREITO DUPLO, EM CHAPA DE MADEIRA COMPENSADA RESINADA, 4 UTILIZAÇÕES. AF_09/2020</t>
  </si>
  <si>
    <t xml:space="preserve">fôrmas, 1,1 m²/m²</t>
  </si>
  <si>
    <t xml:space="preserve">3. Vedação e revestimentos</t>
  </si>
  <si>
    <t xml:space="preserve">103328</t>
  </si>
  <si>
    <t xml:space="preserve">ALVENARIA DE VEDAÇÃO DE BLOCOS CERÂMICOS FURADOS NA HORIZONTAL DE 9X19X19 CM (ESPESSURA 9 CM) E ARGAMASSA DE ASSENTAMENTO COM PREPARO EM BETONEIRA. AF_08/2026</t>
  </si>
  <si>
    <t xml:space="preserve">alvenaria de vedação, 1,5 m²/m²</t>
  </si>
  <si>
    <t xml:space="preserve">chapisco nas duas faces</t>
  </si>
  <si>
    <t xml:space="preserve">massa única interna</t>
  </si>
  <si>
    <t xml:space="preserve">104235</t>
  </si>
  <si>
    <t xml:space="preserve">EMBOÇO OU MASSA ÚNICA EM ARGAMASSA INDUSTRIALIZADA, PREPARO MECÂNICA E APLICAÇÃO COM EQUIPAMENTO DE MISTURA E PROJEÇÃO DE 1,5 M3/H DE ARGAMASSA EM PANOS DE FACHADA SEM PRESENÇA DE VÃOS, ESPESSURA DE 25 MM, ACESSO POR ANDAIME. AF_08/2022</t>
  </si>
  <si>
    <t xml:space="preserve">emboço externo</t>
  </si>
  <si>
    <t xml:space="preserve">revestimento cerâmico em áreas molhadas</t>
  </si>
  <si>
    <t xml:space="preserve">4. Pisos</t>
  </si>
  <si>
    <t xml:space="preserve">95241</t>
  </si>
  <si>
    <t xml:space="preserve">LASTRO DE CONCRETO MAGRO, APLICADO EM PISOS, LAJES SOBRE SOLO OU RADIERS, ESPESSURA DE 5 CM. AF_01/2024</t>
  </si>
  <si>
    <t xml:space="preserve">lastro de concreto magro 5 cm</t>
  </si>
  <si>
    <t xml:space="preserve">regularização/contrapiso cimentado 3 cm</t>
  </si>
  <si>
    <t xml:space="preserve">piso cerâmico</t>
  </si>
  <si>
    <t xml:space="preserve">94992</t>
  </si>
  <si>
    <t xml:space="preserve">EXECUÇÃO DE PASSEIO (CALÇADA) OU PISO DE CONCRETO COM CONCRETO MOLDADO IN LOCO, FEITO EM OBRA, ACABAMENTO CONVENCIONAL, ESPESSURA 6 CM, ARMADO. AF_08/2022</t>
  </si>
  <si>
    <t xml:space="preserve">calçada perimetral</t>
  </si>
  <si>
    <t xml:space="preserve">5. Cobertura e forro</t>
  </si>
  <si>
    <t xml:space="preserve">trama de madeira (área inclinada + beirais)</t>
  </si>
  <si>
    <t xml:space="preserve">telha cerâmica</t>
  </si>
  <si>
    <t xml:space="preserve">forro de PVC</t>
  </si>
  <si>
    <t xml:space="preserve">6. Esquadrias</t>
  </si>
  <si>
    <t xml:space="preserve">portas, 1 a cada 15 m²</t>
  </si>
  <si>
    <t xml:space="preserve">janelas, 0,15 m²/m²</t>
  </si>
  <si>
    <t xml:space="preserve">7. Pintura</t>
  </si>
  <si>
    <t xml:space="preserve">pintura látex interna</t>
  </si>
  <si>
    <t xml:space="preserve">88423</t>
  </si>
  <si>
    <t xml:space="preserve">APLICAÇÃO MANUAL DE PINTURA COM TINTA TEXTURIZADA ACRÍLICA EM PAREDES EXTERNAS DE CASAS, UMA COR. AF_03/2024</t>
  </si>
  <si>
    <t xml:space="preserve">textura acrílica externa</t>
  </si>
  <si>
    <t xml:space="preserve">8. Instalações elétricas</t>
  </si>
  <si>
    <t xml:space="preserve">pontos de interruptor/tomada, 1 a cada 6 m²</t>
  </si>
  <si>
    <t xml:space="preserve">luminárias, 1 a cada 8 m²</t>
  </si>
  <si>
    <t xml:space="preserve">cabos 2,5 mm², 12 m/m²</t>
  </si>
  <si>
    <t xml:space="preserve">eletrodutos, 4 m/m²</t>
  </si>
  <si>
    <t xml:space="preserve">9. Instalações hidrossanitárias</t>
  </si>
  <si>
    <t xml:space="preserve">ramais de esgoto DN 100, 0,3 m/m²</t>
  </si>
  <si>
    <t xml:space="preserve">quadro de distribuição, 1 a cada 150 m²</t>
  </si>
  <si>
    <t xml:space="preserve">bacias sanitárias, 1 a cada 40 m²</t>
  </si>
  <si>
    <t xml:space="preserve">lavatórios, 1 a cada 40 m²</t>
  </si>
  <si>
    <t xml:space="preserve">102623</t>
  </si>
  <si>
    <t xml:space="preserve">CAIXA D´ÁGUA EM POLIETILENO, 1000 LITROS (INCLUSOS TUBOS, CONEXÕES E TORNEIRA DE BÓIA) - FORNECIMENTO E INSTALAÇÃO. AF_06/2021</t>
  </si>
  <si>
    <t xml:space="preserve">caixa d'água 1.000 L, 1 a cada 150 m²</t>
  </si>
  <si>
    <t xml:space="preserve">98107</t>
  </si>
  <si>
    <t xml:space="preserve">CAIXA DE GORDURA SIMPLES (CAPACIDADE: 36 L), RETANGULAR, EM ALVENARIA COM BLOCOS DE CONCRETO, DIMENSÕES INTERNAS = 0,2X0,4 M, ALTURA INTERNA = 0,8 M. AF_12/2020</t>
  </si>
  <si>
    <t xml:space="preserve">caixa de gordura</t>
  </si>
  <si>
    <t xml:space="preserve">10. Prevenção contra incêndio</t>
  </si>
  <si>
    <t xml:space="preserve">extintor PQS 6 kg, 1 a cada 150 m²</t>
  </si>
  <si>
    <t xml:space="preserve">luminária de emergência, 1 a cada 50 m²</t>
  </si>
  <si>
    <t xml:space="preserve">placa fotoluminescente de rota de fuga</t>
  </si>
  <si>
    <t xml:space="preserve">03 - Requalificação da drenagem pluvial da Av. Soares Lopes</t>
  </si>
  <si>
    <t xml:space="preserve">Av. Soares Lopes</t>
  </si>
  <si>
    <t xml:space="preserve">vias e drenagem (Acórdão 2.622/2013, rodovias e ferrovias)</t>
  </si>
  <si>
    <t xml:space="preserve">Extensão de 1.600 m citada no pedido de prorrogação da SEINFRA (minuta de 12/11/2024).</t>
  </si>
  <si>
    <t xml:space="preserve">Rede principal DN 800/1.000/1.200 mm (premissa até haver projeto).</t>
  </si>
  <si>
    <t xml:space="preserve">Microdrenagem em via existente: vala com largura DN + 0,6 m e profundidade DN + 1,0 m, PV a cada 40 m, 2 bocas de lobo a cada 40 m, recomposição de base (20 cm) e CBUQ (5 cm) na faixa da vala, bota-fora a 10 km.</t>
  </si>
  <si>
    <t xml:space="preserve">placa de obra 3 m x 2 m</t>
  </si>
  <si>
    <t xml:space="preserve">2. Drenagem</t>
  </si>
  <si>
    <t xml:space="preserve">90082</t>
  </si>
  <si>
    <t xml:space="preserve">ESCAVAÇÃO MECANIZADA DE VALA COM PROF. ATÉ 1,5 M (MÉDIA MONTANTE E JUSANTE/UMA COMPOSIÇÃO POR TRECHO), ESCAVADEIRA (0,8 M3), LARG. DE 1,5 M A 2,5 M, EM SOLO DE 1A CATEGORIA, EM LOCAIS COM ALTO NÍVEL DE INTERFERÊNCIA. AF_09/2024</t>
  </si>
  <si>
    <t xml:space="preserve">vala 1.40 m x 1.80 m x L 1600 m</t>
  </si>
  <si>
    <t xml:space="preserve">92214</t>
  </si>
  <si>
    <t xml:space="preserve">TUBO DE CONCRETO PARA REDES COLETORAS DE ÁGUAS PLUVIAIS, DIÂMETRO DE 800 MM, JUNTA RÍGIDA, INSTALADO EM LOCAL COM BAIXO NÍVEL DE INTERFERÊNCIAS - FORNECIMENTO E ASSENTAMENTO. AF_03/2024</t>
  </si>
  <si>
    <t xml:space="preserve">rede DN 800 mm ao longo de L</t>
  </si>
  <si>
    <t xml:space="preserve">93369</t>
  </si>
  <si>
    <t xml:space="preserve">REATERRO MECANIZADO DE VALA COM ESCAVADEIRA HIDRÁULICA (CAPACIDADE DA CAÇAMBA: 0,8 M³/POTÊNCIA: 111 HP), LARGURA 1,5 A 2,5 M, PROFUNDIDADE 1,5 A 3,0 M, COM SOLO (SEM SUBSTITUIÇÃO) DE 1ª CATEGORIA, COM COMPACTADOR DE SOLOS DE PERCUSSÃO. AF_08/2023</t>
  </si>
  <si>
    <t xml:space="preserve">volume da vala - volume externo do tubo</t>
  </si>
  <si>
    <t xml:space="preserve">102457</t>
  </si>
  <si>
    <t xml:space="preserve">BASE PARA POÇO DE VISITA CIRCULAR PARA DRENAGEM, EM CONCRETO PRÉ-MOLDADO, DIÂMETRO INTERNO = 1,20 M, PROFUNDIDADE = 1,60 M, EXCLUINDO TAMPÃO. AF_05/2021</t>
  </si>
  <si>
    <t xml:space="preserve">PV a cada 40 m + 1</t>
  </si>
  <si>
    <t xml:space="preserve">99240</t>
  </si>
  <si>
    <t xml:space="preserve">ACRÉSCIMO PARA POÇO DE VISITA CIRCULAR PARA DRENAGEM, EM CONCRETO PRÉ-MOLDADO, DIÂMETRO INTERNO = 1,2 M. AF_12/2020</t>
  </si>
  <si>
    <t xml:space="preserve">acréscimo médio de 0,5 m de profundidade por PV</t>
  </si>
  <si>
    <t xml:space="preserve">97956</t>
  </si>
  <si>
    <t xml:space="preserve">CAIXA PARA BOCA DE LOBO SIMPLES RETANGULAR, EM ALVENARIA COM BLOCOS DE CONCRETO, DIMENSÕES INTERNAS: 0,6X1X1,2 M. AF_12/2020</t>
  </si>
  <si>
    <t xml:space="preserve">boca de lobo simples, 2 a cada 40 m</t>
  </si>
  <si>
    <t xml:space="preserve">92210</t>
  </si>
  <si>
    <t xml:space="preserve">TUBO DE CONCRETO PARA REDES COLETORAS DE ÁGUAS PLUVIAIS, DIÂMETRO DE 400 MM, JUNTA RÍGIDA, INSTALADO EM LOCAL COM BAIXO NÍVEL DE INTERFERÊNCIAS - FORNECIMENTO E ASSENTAMENTO. AF_03/2024</t>
  </si>
  <si>
    <t xml:space="preserve">ligação BL-PV em DN 400 mm, 4 m por boca de lobo</t>
  </si>
  <si>
    <t xml:space="preserve">carga do solo excedente (volume do tubo)</t>
  </si>
  <si>
    <t xml:space="preserve">transporte do excedente, DMT 10 km</t>
  </si>
  <si>
    <t xml:space="preserve">3. Recomposição do pavimento</t>
  </si>
  <si>
    <t xml:space="preserve">101849</t>
  </si>
  <si>
    <t xml:space="preserve">RECOMPOSIÇÃO DE BASE E OU SUB-BASE PARA FECHAMENTO DE VALAS DE BRITA GRADUADA SIMPLES - INCLUSO RETIRADA E COLOCAÇÃO DO MATERIAL. AF_12/2020</t>
  </si>
  <si>
    <t xml:space="preserve">base de brita graduada 20 cm na faixa da vala (1.60 m)</t>
  </si>
  <si>
    <t xml:space="preserve">102098</t>
  </si>
  <si>
    <t xml:space="preserve">RECOMPOSIÇÃO DE REVESTIMENTO EM CONCRETO ASFÁLTICO (AQUISIÇÃO EM USINA), PARA O FECHAMENTO DE VALAS - INCLUSO DEMOLIÇÃO DO PAVIMENTO. AF_12/2020</t>
  </si>
  <si>
    <t xml:space="preserve">revestimento em CBUQ 5 cm na faixa da vala (inclui demolição)</t>
  </si>
  <si>
    <t xml:space="preserve">vala 1.60 m x 2.00 m x L 1600 m</t>
  </si>
  <si>
    <t xml:space="preserve">92216</t>
  </si>
  <si>
    <t xml:space="preserve">TUBO DE CONCRETO PARA REDES COLETORAS DE ÁGUAS PLUVIAIS, DIÂMETRO DE 1000 MM, JUNTA RÍGIDA, INSTALADO EM LOCAL COM BAIXO NÍVEL DE INTERFERÊNCIAS - FORNECIMENTO E ASSENTAMENTO. AF_03/2024</t>
  </si>
  <si>
    <t xml:space="preserve">rede DN 1000 mm ao longo de L</t>
  </si>
  <si>
    <t xml:space="preserve">102142</t>
  </si>
  <si>
    <t xml:space="preserve">BASE PARA POÇO DE VISITA CIRCULAR PARA DRENAGEM, EM CONCRETO PRÉ-MOLDADO, DIÂMETRO INTERNO = 1,50 M, PROFUNDIDADE = 1,35 M, EXCLUINDO TAMPÃO. AF_12/2020</t>
  </si>
  <si>
    <t xml:space="preserve">99246</t>
  </si>
  <si>
    <t xml:space="preserve">ACRÉSCIMO PARA POÇO DE VISITA CIRCULAR PARA DRENAGEM, EM CONCRETO PRÉ-MOLDADO, DIÂMETRO INTERNO = 1,5 M. AF_12/2020</t>
  </si>
  <si>
    <t xml:space="preserve">base de brita graduada 20 cm na faixa da vala (1.80 m)</t>
  </si>
  <si>
    <t xml:space="preserve">vala 1.80 m x 2.20 m x L 1600 m</t>
  </si>
  <si>
    <t xml:space="preserve">92816</t>
  </si>
  <si>
    <t xml:space="preserve">TUBO DE CONCRETO PARA REDES COLETORAS DE ÁGUAS PLUVIAIS, DIÂMETRO DE 1200 MM, JUNTA RÍGIDA, INSTALADO EM LOCAL COM BAIXO NÍVEL DE INTERFERÊNCIAS - FORNECIMENTO E ASSENTAMENTO. AF_03/2024</t>
  </si>
  <si>
    <t xml:space="preserve">rede DN 1200 mm ao longo de L</t>
  </si>
  <si>
    <t xml:space="preserve">base de brita graduada 20 cm na faixa da vala (2.00 m)</t>
  </si>
  <si>
    <t xml:space="preserve">04 - Banheiro com chuveiro e grade na sede do Conselho Municipal de Educação</t>
  </si>
  <si>
    <t xml:space="preserve">Sede do Conselho Municipal de Educação</t>
  </si>
  <si>
    <t xml:space="preserve">Banheiro com chuveiro de cerca de 4 m² e grade de 1,0 x 2,1 m na porta de entrada, como pedido pela 6ª PJ.</t>
  </si>
  <si>
    <t xml:space="preserve">Quantidades de alvenaria e revestimento x 0,7 / 1,0 / 1,4; no máximo, inclui cobertura própria.</t>
  </si>
  <si>
    <t xml:space="preserve">1. Banheiro com chuveiro</t>
  </si>
  <si>
    <t xml:space="preserve">alvenaria</t>
  </si>
  <si>
    <t xml:space="preserve">chapisco</t>
  </si>
  <si>
    <t xml:space="preserve">massa única</t>
  </si>
  <si>
    <t xml:space="preserve">revestimento cerâmico</t>
  </si>
  <si>
    <t xml:space="preserve">lastro de piso</t>
  </si>
  <si>
    <t xml:space="preserve">regularização</t>
  </si>
  <si>
    <t xml:space="preserve">bacia sanitária</t>
  </si>
  <si>
    <t xml:space="preserve">lavatório</t>
  </si>
  <si>
    <t xml:space="preserve">100860</t>
  </si>
  <si>
    <t xml:space="preserve">CHUVEIRO ELÉTRICO COMUM CORPO PLÁSTICO, TIPO DUCHA - FORNECIMENTO E INSTALAÇÃO. AF_02/2026</t>
  </si>
  <si>
    <t xml:space="preserve">chuveiro elétrico</t>
  </si>
  <si>
    <t xml:space="preserve">esgoto DN 100</t>
  </si>
  <si>
    <t xml:space="preserve">pontos elétricos</t>
  </si>
  <si>
    <t xml:space="preserve">luminária</t>
  </si>
  <si>
    <t xml:space="preserve">91328</t>
  </si>
  <si>
    <t xml:space="preserve">KIT DE PORTA DE MADEIRA FRISADA, SEMI-OCA (LEVE OU MÉDIA), PADRÃO MÉDIO 60X210CM, ESPESSURA DE 3CM, ITENS INCLUSOS: DOBRADIÇAS, MONTAGEM E INSTALAÇÃO DO BATENTE, SEM FECHADURA - FORNECIMENTO E INSTALAÇÃO. AF_10/2025</t>
  </si>
  <si>
    <t xml:space="preserve">porta 60x210</t>
  </si>
  <si>
    <t xml:space="preserve">janela</t>
  </si>
  <si>
    <t xml:space="preserve">2. Grade na porta de entrada</t>
  </si>
  <si>
    <t xml:space="preserve">99861</t>
  </si>
  <si>
    <t xml:space="preserve">GRADIL EM AÇO FIXADO EM VÃOS DE JANELAS, FORMADO POR BARRAS CHATAS DE 25X4,8 MM. AF_10/2025</t>
  </si>
  <si>
    <t xml:space="preserve">gradil de aço na porta (1,0 m x 2,1 m)</t>
  </si>
  <si>
    <t xml:space="preserve">trama de cobertura</t>
  </si>
  <si>
    <t xml:space="preserve">05 - Valetão aberto pela EMBASA em via pública (local não identificado)</t>
  </si>
  <si>
    <t xml:space="preserve">não informado</t>
  </si>
  <si>
    <t xml:space="preserve">Local do valetão não identificado; trecho de 50/100/200 m de rede com recomposição.</t>
  </si>
  <si>
    <t xml:space="preserve">A vala foi aberta pela EMBASA: parte do custo pode caber à concessionária.</t>
  </si>
  <si>
    <t xml:space="preserve">vala 1.20 m x 1.60 m x L 50 m</t>
  </si>
  <si>
    <t xml:space="preserve">92212</t>
  </si>
  <si>
    <t xml:space="preserve">TUBO DE CONCRETO PARA REDES COLETORAS DE ÁGUAS PLUVIAIS, DIÂMETRO DE 600 MM, JUNTA RÍGIDA, INSTALADO EM LOCAL COM BAIXO NÍVEL DE INTERFERÊNCIAS - FORNECIMENTO E ASSENTAMENTO. AF_03/2024</t>
  </si>
  <si>
    <t xml:space="preserve">rede DN 600 mm ao longo de L</t>
  </si>
  <si>
    <t xml:space="preserve">99285</t>
  </si>
  <si>
    <t xml:space="preserve">BASE PARA POÇO DE VISITA CIRCULAR PARA DRENAGEM, EM CONCRETO PRÉ-MOLDADO, DIÂMETRO INTERNO = 1,0 M, PROFUNDIDADE = 1,35 M, EXCLUINDO TAMPÃO. AF_05/2018</t>
  </si>
  <si>
    <t xml:space="preserve">99288</t>
  </si>
  <si>
    <t xml:space="preserve">ACRÉSCIMO PARA POÇO DE VISITA CIRCULAR PARA DRENAGEM, EM CONCRETO PRÉ-MOLDADO, DIÂMETRO INTERNO = 1 M. AF_12/2020</t>
  </si>
  <si>
    <t xml:space="preserve">base de brita graduada 20 cm na faixa da vala (1.40 m)</t>
  </si>
  <si>
    <t xml:space="preserve">vala 1.20 m x 1.60 m x L 100 m</t>
  </si>
  <si>
    <t xml:space="preserve">vala 1.40 m x 1.80 m x L 200 m</t>
  </si>
  <si>
    <t xml:space="preserve">06 - Quadra poliesportiva do distrito de Banco do Pedro</t>
  </si>
  <si>
    <t xml:space="preserve">Distrito de Banco do Pedro</t>
  </si>
  <si>
    <t xml:space="preserve">Quadra poliesportiva coberta-tipo: piso 32 m x 20 m em concreto armado, cobertura metálica de 748 m², alambrado de 104 m.</t>
  </si>
  <si>
    <t xml:space="preserve">Estrutura de aço 18/25/32 kg/m²; vestiário de 0/40/60 m².</t>
  </si>
  <si>
    <t xml:space="preserve">Iluminação esportiva representada por refletores do SINAPI; o projeto luminotécnico pode elevar o custo.</t>
  </si>
  <si>
    <t xml:space="preserve">98525</t>
  </si>
  <si>
    <t xml:space="preserve">LIMPEZA MECANIZADA DE CAMADA VEGETAL, VEGETAÇÃO E PEQUENAS ÁRVORES (DIÂMETRO DE TRONCO MENOR QUE 0,20 M), COM TRATOR DE ESTEIRAS. AF_03/2024</t>
  </si>
  <si>
    <t xml:space="preserve">limpeza do terreno</t>
  </si>
  <si>
    <t xml:space="preserve">2. Fundações e pilares</t>
  </si>
  <si>
    <t xml:space="preserve">escavação de blocos</t>
  </si>
  <si>
    <t xml:space="preserve">concreto de blocos e pilares</t>
  </si>
  <si>
    <t xml:space="preserve">armação</t>
  </si>
  <si>
    <t xml:space="preserve">fôrmas</t>
  </si>
  <si>
    <t xml:space="preserve">3. Piso esportivo</t>
  </si>
  <si>
    <t xml:space="preserve">100576</t>
  </si>
  <si>
    <t xml:space="preserve">REGULARIZAÇÃO E COMPACTAÇÃO DE SUBLEITO DE SOLO PREDOMINANTEMENTE ARGILOSO, PARA OBRAS DE CONSTRUÇÃO DE PAVIMENTOS. AF_09/2024</t>
  </si>
  <si>
    <t xml:space="preserve">regularização (área 32 m x 20 m)</t>
  </si>
  <si>
    <t xml:space="preserve">96396</t>
  </si>
  <si>
    <t xml:space="preserve">CONSTRUÇÃO DE BASE E SUB-BASE PARA PAVIMENTAÇÃO DE BRITA GRADUADA SIMPLES, COM ESPESSURA DE 15 CM - EXCLUSIVE CARGA E TRANSPORTE. AF_09/2024</t>
  </si>
  <si>
    <t xml:space="preserve">base de brita graduada 10 cm</t>
  </si>
  <si>
    <t xml:space="preserve">94995</t>
  </si>
  <si>
    <t xml:space="preserve">EXECUÇÃO DE PASSEIO (CALÇADA) OU PISO DE CONCRETO COM CONCRETO MOLDADO IN LOCO, USINADO, ACABAMENTO CONVENCIONAL, ESPESSURA 8 CM, ARMADO. AF_08/2022</t>
  </si>
  <si>
    <t xml:space="preserve">piso de concreto armado 8 cm</t>
  </si>
  <si>
    <t xml:space="preserve">102504</t>
  </si>
  <si>
    <t xml:space="preserve">PINTURA DE DEMARCAÇÃO DE QUADRA POLIESPORTIVA COM TINTA ACRÍLICA, E = 5 CM, APLICAÇÃO MANUAL. AF_05/2021</t>
  </si>
  <si>
    <t xml:space="preserve">demarcação das quadras</t>
  </si>
  <si>
    <t xml:space="preserve">4. Cobertura</t>
  </si>
  <si>
    <t xml:space="preserve">104314</t>
  </si>
  <si>
    <t xml:space="preserve">TRAMA DE AÇO COMPOSTA POR TERÇAS PARA TELHADOS DE ATÉ 2 ÁGUAS PARA TELHA ONDULADA DE FIBROCIMENTO, METÁLICA, PLÁSTICA OU TERMOACÚSTICA, INCLUSO TRANSPORTE VERTICAL (EM KG). EXCLUSIVE PINTURA. AF_10/2025_PS</t>
  </si>
  <si>
    <t xml:space="preserve">estrutura de aço da cobertura, 18 kg/m² em 748 m²</t>
  </si>
  <si>
    <t xml:space="preserve">94216</t>
  </si>
  <si>
    <t xml:space="preserve">TELHAMENTO COM TELHA METÁLICA TERMOACÚSTICA E = 30 MM, COM ATÉ 2 ÁGUAS, INCLUSO IÇAMENTO. AF_06/2026</t>
  </si>
  <si>
    <t xml:space="preserve">telha metálica termoacústica</t>
  </si>
  <si>
    <t xml:space="preserve">5. Fechamento e equipamentos</t>
  </si>
  <si>
    <t xml:space="preserve">102363</t>
  </si>
  <si>
    <t xml:space="preserve">ALAMBRADO PARA QUADRA POLIESPORTIVA, ESTRUTURADO POR TUBOS DE AÇO GALVANIZADO, (MONTANTES COM DIÂMETRO 2", TRAVESSAS E ESCORAS COM DIÂMETRO 1 ¼"), COM TELA DE ARAME GALVANIZADO, FIO 12 BWG E MALHA QUADRADA 5X5CM (EXCETO MURETA). AF_12/2025</t>
  </si>
  <si>
    <t xml:space="preserve">alambrado (104 m x 2 m)</t>
  </si>
  <si>
    <t xml:space="preserve">25400</t>
  </si>
  <si>
    <t xml:space="preserve">PAR DE TABELAS DE BASQUETE EM COMPENSADO NAVAL, OFICIAL, 1800 X 1200 MM, INCLUINDO ARO DE METAL E REDE EM POLIPROPILENO 100% (SEM SUPORTE DE FIXACAO)</t>
  </si>
  <si>
    <t xml:space="preserve">par de tabelas de basquete</t>
  </si>
  <si>
    <t xml:space="preserve">39391</t>
  </si>
  <si>
    <t xml:space="preserve">LUMINARIA LED REFLETOR RETANGULAR BIVOLT, LUZ BRANCA, 50 W</t>
  </si>
  <si>
    <t xml:space="preserve">refletores LED 50 W (insumo; iluminação esportiva a dimensionar)</t>
  </si>
  <si>
    <t xml:space="preserve">estrutura de aço da cobertura, 25 kg/m² em 748 m²</t>
  </si>
  <si>
    <t xml:space="preserve">Vestiário - 1. Serviços preliminares</t>
  </si>
  <si>
    <t xml:space="preserve">Vestiário - 2. Fundação e estrutura</t>
  </si>
  <si>
    <t xml:space="preserve">Vestiário - 3. Vedação e revestimentos</t>
  </si>
  <si>
    <t xml:space="preserve">Vestiário - 4. Pisos</t>
  </si>
  <si>
    <t xml:space="preserve">Vestiário - 5. Cobertura e forro</t>
  </si>
  <si>
    <t xml:space="preserve">Vestiário - 6. Esquadrias</t>
  </si>
  <si>
    <t xml:space="preserve">Vestiário - 7. Pintura</t>
  </si>
  <si>
    <t xml:space="preserve">Vestiário - 8. Instalações elétricas</t>
  </si>
  <si>
    <t xml:space="preserve">Vestiário - 9. Instalações hidrossanitárias</t>
  </si>
  <si>
    <t xml:space="preserve">Vestiário - 10. Prevenção contra incêndio</t>
  </si>
  <si>
    <t xml:space="preserve">estrutura de aço da cobertura, 32 kg/m² em 748 m²</t>
  </si>
  <si>
    <t xml:space="preserve">07 - Reforma do Instituto Municipal de Ensino Eusínio Lavigne – IME (Av. Canavieiras, Centro)</t>
  </si>
  <si>
    <t xml:space="preserve">Instituto Municipal de Ensino Eusínio Lavigne (IME), Av. Canavieiras, s/n, Centro</t>
  </si>
  <si>
    <t xml:space="preserve">Prédio escolar de 1939 com dois pavimentos; área de 1.500/2.000/2.500 m² (premissa; confirmar).</t>
  </si>
  <si>
    <t xml:space="preserve">Inclui requalificação de cobertura pedida pela 6ª PJ. Exigências de preservação histórica podem elevar o custo.</t>
  </si>
  <si>
    <t xml:space="preserve">Reforma-tipo por m²: fração refeita de cobertura/forro/piso/reboco/esquadrias/instalações = 20/20/10/10/10/20% (mín), 50/50/30/30/30/50% (prov) e 100/100/60/60/60/100% (máx); pintura integral; extintores, emergência e sinalização de rota de fuga.</t>
  </si>
  <si>
    <t xml:space="preserve">2. Demolições e retiradas</t>
  </si>
  <si>
    <t xml:space="preserve">3. Cobertura e forro</t>
  </si>
  <si>
    <t xml:space="preserve">4. Revestimentos e pisos</t>
  </si>
  <si>
    <t xml:space="preserve">5. Pintura</t>
  </si>
  <si>
    <t xml:space="preserve">7. Instalações</t>
  </si>
  <si>
    <t xml:space="preserve">8. Prevenção contra incêndio</t>
  </si>
  <si>
    <t xml:space="preserve">9. Entulho</t>
  </si>
  <si>
    <t xml:space="preserve">08 - Drenagem da Rua Jardim Alice (Banco da Vitória)</t>
  </si>
  <si>
    <t xml:space="preserve">Rua Jardim Alice, Banco da Vitória (conforme planilhas da SEINFRA)</t>
  </si>
  <si>
    <t xml:space="preserve">Rua Jardim Alice (Banco da Vitória), segundo as planilhas da SEINFRA; trecho de 150/250/400 m.</t>
  </si>
  <si>
    <t xml:space="preserve">A NF fala em saneamento; o escopo de drenagem precisa ser confirmado.</t>
  </si>
  <si>
    <t xml:space="preserve">vala 1.20 m x 1.60 m x L 150 m</t>
  </si>
  <si>
    <t xml:space="preserve">vala 1.20 m x 1.60 m x L 250 m</t>
  </si>
  <si>
    <t xml:space="preserve">vala 1.40 m x 1.80 m x L 400 m</t>
  </si>
  <si>
    <t xml:space="preserve">09 - Drenagem da Rua Praia Dourada</t>
  </si>
  <si>
    <t xml:space="preserve">Rua Praia Dourada (bairro não informado)</t>
  </si>
  <si>
    <t xml:space="preserve">Rua Praia Dourada (nome só na lista de controle); comprimento de 150/250/400 m (premissa).</t>
  </si>
  <si>
    <t xml:space="preserve">O esgoto cabe à EMBASA e não está incluído.</t>
  </si>
  <si>
    <t xml:space="preserve">Rua-tipo: pista 5/6/7 m, passeios 1,2/1,5/2,0 m, base+sub-base 15/20/30 cm, CBUQ 4/5/5 cm, rede DN 600/600/800 mm, PV a cada 40 m, 2 bocas de lobo a cada 40 m, DMT da brita 20/20/40 km e do CBUQ 30/30/60 km (mín/prov/máx).</t>
  </si>
  <si>
    <t xml:space="preserve">limpeza da faixa: L x (pista + 2 passeios)</t>
  </si>
  <si>
    <t xml:space="preserve">3. Pavimentação</t>
  </si>
  <si>
    <t xml:space="preserve">regularização do subleito: L x pista</t>
  </si>
  <si>
    <t xml:space="preserve">base/sub-base de brita graduada, espessura total 15 cm</t>
  </si>
  <si>
    <t xml:space="preserve">transporte da brita, DMT 20 km</t>
  </si>
  <si>
    <t xml:space="preserve">95995</t>
  </si>
  <si>
    <t xml:space="preserve">EXECUÇÃO DE PAVIMENTO COM APLICAÇÃO DE CONCRETO ASFÁLTICO, CAMADA DE ROLAMENTO - EXCLUSIVE CARGA E TRANSPORTE. AF_10/2025</t>
  </si>
  <si>
    <t xml:space="preserve">CBUQ, espessura 4 cm</t>
  </si>
  <si>
    <t xml:space="preserve">transporte do CBUQ, DMT 30 km</t>
  </si>
  <si>
    <t xml:space="preserve">4. Meio-fio, sarjeta e passeio</t>
  </si>
  <si>
    <t xml:space="preserve">94273</t>
  </si>
  <si>
    <t xml:space="preserve">ASSENTAMENTO DE GUIA (MEIO-FIO) EM TRECHO RETO, CONFECCIONADA EM CONCRETO PRÉ-FABRICADO, DIMENSÕES 100X15X13X30 CM (COMPRIMENTO X BASE INFERIOR X BASE SUPERIOR X ALTURA). AF_01/2024</t>
  </si>
  <si>
    <t xml:space="preserve">meio-fio nos dois lados</t>
  </si>
  <si>
    <t xml:space="preserve">94287</t>
  </si>
  <si>
    <t xml:space="preserve">EXECUÇÃO DE SARJETA DE CONCRETO USINADO, MOLDADA IN LOCO EM TRECHO RETO, 30 CM BASE X 10 CM ALTURA. AF_01/2024</t>
  </si>
  <si>
    <t xml:space="preserve">sarjeta 30x10 cm nos dois lados</t>
  </si>
  <si>
    <t xml:space="preserve">passeio de concreto 6 cm nos dois lados</t>
  </si>
  <si>
    <t xml:space="preserve">105002</t>
  </si>
  <si>
    <t xml:space="preserve">RAMPA DE ACESSIBILIDADE EM CONCRETO MOLDADO IN LOCO, EM CALÇADA NOVA COM LARGURA MAIOR OU IGUAL À 3,00 M, FCK 25MPA, COM PISO PODOTÁTIL. AF_03/2024</t>
  </si>
  <si>
    <t xml:space="preserve">rampas de acessibilidade, 2 a cada 50 m</t>
  </si>
  <si>
    <t xml:space="preserve">5. Sinalização</t>
  </si>
  <si>
    <t xml:space="preserve">102501</t>
  </si>
  <si>
    <t xml:space="preserve">PINTURA DE FAIXA DE PEDESTRE OU ZEBRADA COM TINTA ACRÍLICA, E = 30 CM, APLICAÇÃO MANUAL. AF_05/2021</t>
  </si>
  <si>
    <t xml:space="preserve">faixa de pedestre 4 m x 3 m a cada 100 m</t>
  </si>
  <si>
    <t xml:space="preserve">base/sub-base de brita graduada, espessura total 20 cm</t>
  </si>
  <si>
    <t xml:space="preserve">CBUQ, espessura 5 cm</t>
  </si>
  <si>
    <t xml:space="preserve">base/sub-base de brita graduada, espessura total 30 cm</t>
  </si>
  <si>
    <t xml:space="preserve">transporte da brita, DMT 40 km</t>
  </si>
  <si>
    <t xml:space="preserve">transporte do CBUQ, DMT 60 km</t>
  </si>
  <si>
    <t xml:space="preserve">10 - Contenção de encosta da Rua Alto do Socorro (Conquista)</t>
  </si>
  <si>
    <t xml:space="preserve">Rua Alto do Socorro, bairro Conquista</t>
  </si>
  <si>
    <t xml:space="preserve">Área de 1.368,32 m² da Meta 13 (Alto do Socorro, trecho 02), citada na resposta ao MPF no PA 1.14.001.000254/2022-91.</t>
  </si>
  <si>
    <t xml:space="preserve">Solução-tipo: solo grampeado com concreto projetado e drenagem. Grampos 2,0/1,5/1,25 m com 6/8/12 m; concreto 10/10/15 cm.</t>
  </si>
  <si>
    <t xml:space="preserve">Altura média da encosta de 8 m (premissa). A solução real depende de sondagem e projeto geotécnico.</t>
  </si>
  <si>
    <t xml:space="preserve">Referência no documento: Meta 13 orçada em R$ 2.682.472,20 no Novo PAC (fora da CP 006/2026).</t>
  </si>
  <si>
    <t xml:space="preserve">limpeza e supressão vegetal: face + 30% de entorno</t>
  </si>
  <si>
    <t xml:space="preserve">2. Contenção</t>
  </si>
  <si>
    <t xml:space="preserve">93957</t>
  </si>
  <si>
    <t xml:space="preserve">EXECUÇÃO DE GRAMPO PARA SOLO GRAMPEADO COM COMPRIMENTO MENOR OU IGUAL A 6 M, DIÂMETRO DE 10 CM, PERFURAÇÃO COM EQUIPAMENTO MANUAL E ARMADURA COM DIÂMETRO DE 20 MM. AF_07/2024</t>
  </si>
  <si>
    <t xml:space="preserve">grampos em malha 2.0 m x 2.0 m, comprimento 6 m</t>
  </si>
  <si>
    <t xml:space="preserve">107269</t>
  </si>
  <si>
    <t xml:space="preserve">EXECUÇÃO DE CORTINA DE CONCRETO PROJETADO COM ESPESSURA DE 10 CM, FCK MAIOR OU IGUAL A 30 MPA. AF_07/2026</t>
  </si>
  <si>
    <t xml:space="preserve">cortina de concreto projetado 10 cm na face</t>
  </si>
  <si>
    <t xml:space="preserve">3. Drenagem da encosta</t>
  </si>
  <si>
    <t xml:space="preserve">106545</t>
  </si>
  <si>
    <t xml:space="preserve">ASSENTAMENTO DE TUBO DRENO DE PEAD CORRUGADO EM GEOCOMPOSTO, DN 100 MM - FORNECIMENTO E INSTALAÇÃO. AF_01/2026</t>
  </si>
  <si>
    <t xml:space="preserve">drenos sub-horizontais/barbacãs, 0,6 m por m² de face</t>
  </si>
  <si>
    <t xml:space="preserve">102991</t>
  </si>
  <si>
    <t xml:space="preserve">CANALETA MEIA CANA PRÉ-MOLDADA DE CONCRETO (D = 40 CM) - FORNECIMENTO E INSTALAÇÃO. AF_05/2025</t>
  </si>
  <si>
    <t xml:space="preserve">canaletas de crista e de pé (A / altura média 8 m, 2 linhas)</t>
  </si>
  <si>
    <t xml:space="preserve">103933</t>
  </si>
  <si>
    <t xml:space="preserve">DESCIDA D'ÁGUA RÁPIDA (DAR 03), EM CONCRETO USINADO, FCK = 20 MPA, LANÇADO COM BOMBA, INCLUINDO ARMAÇÃO, MATERIAIS E FÔRMAS (2 UTILIZAÇÕES). AF_08/2022</t>
  </si>
  <si>
    <t xml:space="preserve">descidas d'água em concreto (0,0125 m³ por m² de face)</t>
  </si>
  <si>
    <t xml:space="preserve">4. Proteção superficial</t>
  </si>
  <si>
    <t xml:space="preserve">98504</t>
  </si>
  <si>
    <t xml:space="preserve">PLANTIO DE GRAMA BATATAIS EM PLACAS. AF_07/2024</t>
  </si>
  <si>
    <t xml:space="preserve">grama em placas em 30% da área (bermas/entorno)</t>
  </si>
  <si>
    <t xml:space="preserve">93959</t>
  </si>
  <si>
    <t xml:space="preserve">EXECUÇÃO DE GRAMPO PARA SOLO GRAMPEADO COM COMPRIMENTO MAIOR QUE 6 M E MENOR OU IGUAL A 10 M, DIÂMETRO DE 10 CM, PERFURAÇÃO COM EQUIPAMENTO MANUAL E ARMADURA COM DIÂMETRO DE 20 MM. AF_07/2024</t>
  </si>
  <si>
    <t xml:space="preserve">grampos em malha 1.5 m x 1.5 m, comprimento 8 m</t>
  </si>
  <si>
    <t xml:space="preserve">93961</t>
  </si>
  <si>
    <t xml:space="preserve">EXECUÇÃO DE GRAMPO PARA SOLO GRAMPEADO COM COMPRIMENTO MAIOR QUE 10 M, DIÂMETRO DE 10 CM, PERFURAÇÃO COM EQUIPAMENTO MANUAL E ARMADURA COM DIÂMETRO DE 20 MM. AF_07/2024</t>
  </si>
  <si>
    <t xml:space="preserve">grampos em malha 1.25 m x 1.25 m, comprimento 12 m</t>
  </si>
  <si>
    <t xml:space="preserve">107270</t>
  </si>
  <si>
    <t xml:space="preserve">EXECUÇÃO DE CORTINA DE CONCRETO PROJETADO COM ESPESSURA DE 15 CM, FCK MAIOR OU IGUAL A 30 MPA. AF_07/2026</t>
  </si>
  <si>
    <t xml:space="preserve">cortina de concreto projetado 15 cm na face</t>
  </si>
  <si>
    <t xml:space="preserve">11 - 96 casas e parques lineares pós-chuvas de 2021 (Salobrinho, Banco da Vitória e Vila Cachoeira)</t>
  </si>
  <si>
    <t xml:space="preserve">Salobrinho, Banco da Vitória (margem da Rodovia Jorge Amado/BR-415) e distrito de Vila Cachoeira</t>
  </si>
  <si>
    <t xml:space="preserve">96 casas e 5 parques lineares citados no Processo MIDR 59053.005916/2022-05.</t>
  </si>
  <si>
    <t xml:space="preserve">Casa térrea de 40/42/45 m²; parque de 1.500/2.000/3.000 m² com gramado e passeios.</t>
  </si>
  <si>
    <t xml:space="preserve">Não inclui infraestrutura do conjunto, terreno nem trabalho social.</t>
  </si>
  <si>
    <t xml:space="preserve">Referências no documento: projeto de R$ 17.156.213,45; contrapartida municipal de R$ 4.549.844,04.</t>
  </si>
  <si>
    <t xml:space="preserve">Casas - 1. Serviços preliminares</t>
  </si>
  <si>
    <t xml:space="preserve">Casas - 2. Fundação e estrutura</t>
  </si>
  <si>
    <t xml:space="preserve">Casas - 3. Vedação e revestimentos</t>
  </si>
  <si>
    <t xml:space="preserve">Casas - 4. Pisos</t>
  </si>
  <si>
    <t xml:space="preserve">Casas - 5. Cobertura e forro</t>
  </si>
  <si>
    <t xml:space="preserve">Casas - 6. Esquadrias</t>
  </si>
  <si>
    <t xml:space="preserve">Casas - 7. Pintura</t>
  </si>
  <si>
    <t xml:space="preserve">Casas - 8. Instalações elétricas</t>
  </si>
  <si>
    <t xml:space="preserve">Casas - 9. Instalações hidrossanitárias</t>
  </si>
  <si>
    <t xml:space="preserve">101875</t>
  </si>
  <si>
    <t xml:space="preserve">QUADRO DE DISTRIBUIÇÃO DE ENERGIA EM CHAPA DE AÇO GALVANIZADO, DE EMBUTIR, COM BARRAMENTO TRIFÁSICO, PARA 12 DISJUNTORES DIN 100A - FORNECIMENTO E INSTALAÇÃO. AF_07/2025</t>
  </si>
  <si>
    <t xml:space="preserve">quadro de distribuição, 1 por casa</t>
  </si>
  <si>
    <t xml:space="preserve">bacia sanitária, 1 por casa</t>
  </si>
  <si>
    <t xml:space="preserve">lavatório, 1 por casa</t>
  </si>
  <si>
    <t xml:space="preserve">chuveiro elétrico, 1 por casa</t>
  </si>
  <si>
    <t xml:space="preserve">86934</t>
  </si>
  <si>
    <t xml:space="preserve">BANCADA DE MÁRMORE SINTÉTICO 120 X 60CM, COM CUBA INTEGRADA, INCLUSO SIFÃO TIPO FLEXÍVEL EM PVC, VÁLVULA EM PLÁSTICO CROMADO TIPO AMERICANA E TORNEIRA CROMADA LONGA, DE PAREDE, PADRÃO POPULAR - FORNECIMENTO E INSTALAÇÃO. AF_02/2026</t>
  </si>
  <si>
    <t xml:space="preserve">bancada de pia com cuba, 1 por casa</t>
  </si>
  <si>
    <t xml:space="preserve">102622</t>
  </si>
  <si>
    <t xml:space="preserve">CAIXA D´ÁGUA EM POLIETILENO, 500 LITROS (INCLUSOS TUBOS, CONEXÕES E TORNEIRA DE BÓIA) - FORNECIMENTO E INSTALAÇÃO. AF_06/2021</t>
  </si>
  <si>
    <t xml:space="preserve">caixa d'água 500 L, 1 por casa</t>
  </si>
  <si>
    <t xml:space="preserve">Parques lineares - 1. Gramado</t>
  </si>
  <si>
    <t xml:space="preserve">gramado em 70% da área</t>
  </si>
  <si>
    <t xml:space="preserve">Parques lineares - 2. Passeios</t>
  </si>
  <si>
    <t xml:space="preserve">passeios de concreto em 20% da área</t>
  </si>
  <si>
    <t xml:space="preserve">12 - Obras FNDE: Escola Vila Lídia, Quadra do Vilela e Creche Nossa Senhora da Vitória</t>
  </si>
  <si>
    <t xml:space="preserve">Escola Vila Lídia; Quadra Themístocles Andrade (Vilela); Creche Nossa Senhora da Vitória</t>
  </si>
  <si>
    <t xml:space="preserve">Três obras do FNDE citadas na resposta ao MPF: Escola Vila Lídia (remanescente), Quadra Themístocles Andrade e Creche N. Sra. da Vitória.</t>
  </si>
  <si>
    <t xml:space="preserve">Escola de 900 m², creche de 1.000 m² e quadra coberta-tipo, com remanescente de 30/50/70% (premissa).</t>
  </si>
  <si>
    <t xml:space="preserve">Escola Vila Lídia - 1. Serviços preliminares</t>
  </si>
  <si>
    <t xml:space="preserve">Escola Vila Lídia - 2. Fundação e estrutura</t>
  </si>
  <si>
    <t xml:space="preserve">Escola Vila Lídia - 3. Vedação e revestimentos</t>
  </si>
  <si>
    <t xml:space="preserve">Escola Vila Lídia - 4. Pisos</t>
  </si>
  <si>
    <t xml:space="preserve">Escola Vila Lídia - 5. Cobertura e forro</t>
  </si>
  <si>
    <t xml:space="preserve">Escola Vila Lídia - 6. Esquadrias</t>
  </si>
  <si>
    <t xml:space="preserve">Escola Vila Lídia - 7. Pintura</t>
  </si>
  <si>
    <t xml:space="preserve">Escola Vila Lídia - 8. Instalações elétricas</t>
  </si>
  <si>
    <t xml:space="preserve">Escola Vila Lídia - 9. Instalações hidrossanitárias</t>
  </si>
  <si>
    <t xml:space="preserve">Escola Vila Lídia - 10. Prevenção contra incêndio</t>
  </si>
  <si>
    <t xml:space="preserve">Creche N. Sra. da Vitória - 1. Serviços preliminares</t>
  </si>
  <si>
    <t xml:space="preserve">Creche N. Sra. da Vitória - 2. Fundação e estrutura</t>
  </si>
  <si>
    <t xml:space="preserve">Creche N. Sra. da Vitória - 3. Vedação e revestimentos</t>
  </si>
  <si>
    <t xml:space="preserve">Creche N. Sra. da Vitória - 4. Pisos</t>
  </si>
  <si>
    <t xml:space="preserve">Creche N. Sra. da Vitória - 5. Cobertura e forro</t>
  </si>
  <si>
    <t xml:space="preserve">Creche N. Sra. da Vitória - 6. Esquadrias</t>
  </si>
  <si>
    <t xml:space="preserve">Creche N. Sra. da Vitória - 7. Pintura</t>
  </si>
  <si>
    <t xml:space="preserve">Creche N. Sra. da Vitória - 8. Instalações elétricas</t>
  </si>
  <si>
    <t xml:space="preserve">Creche N. Sra. da Vitória - 9. Instalações hidrossanitárias</t>
  </si>
  <si>
    <t xml:space="preserve">Creche N. Sra. da Vitória - 10. Prevenção contra incêndio</t>
  </si>
  <si>
    <t xml:space="preserve">Quadra Themístocles Andrade - 1. Serviços preliminares</t>
  </si>
  <si>
    <t xml:space="preserve">Quadra Themístocles Andrade - 2. Fundações e pilares</t>
  </si>
  <si>
    <t xml:space="preserve">Quadra Themístocles Andrade - 3. Piso esportivo</t>
  </si>
  <si>
    <t xml:space="preserve">Quadra Themístocles Andrade - 4. Cobertura</t>
  </si>
  <si>
    <t xml:space="preserve">Quadra Themístocles Andrade - 5. Fechamento e equipamentos</t>
  </si>
  <si>
    <t xml:space="preserve">Quadra Themístocles Andrade - Vestiário - 1. Serviços preliminares</t>
  </si>
  <si>
    <t xml:space="preserve">Quadra Themístocles Andrade - Vestiário - 2. Fundação e estrutura</t>
  </si>
  <si>
    <t xml:space="preserve">Quadra Themístocles Andrade - Vestiário - 3. Vedação e revestimentos</t>
  </si>
  <si>
    <t xml:space="preserve">Quadra Themístocles Andrade - Vestiário - 4. Pisos</t>
  </si>
  <si>
    <t xml:space="preserve">Quadra Themístocles Andrade - Vestiário - 5. Cobertura e forro</t>
  </si>
  <si>
    <t xml:space="preserve">Quadra Themístocles Andrade - Vestiário - 6. Esquadrias</t>
  </si>
  <si>
    <t xml:space="preserve">Quadra Themístocles Andrade - Vestiário - 7. Pintura</t>
  </si>
  <si>
    <t xml:space="preserve">Quadra Themístocles Andrade - Vestiário - 8. Instalações elétricas</t>
  </si>
  <si>
    <t xml:space="preserve">Quadra Themístocles Andrade - Vestiário - 9. Instalações hidrossanitárias</t>
  </si>
  <si>
    <t xml:space="preserve">Quadra Themístocles Andrade - Vestiário - 10. Prevenção contra incêndio</t>
  </si>
  <si>
    <t xml:space="preserve">13 - Condições de trabalho e reforma do prédio do SAMU de Ilhéus</t>
  </si>
  <si>
    <t xml:space="preserve">SAMU de Ilhéus (endereço não informado)</t>
  </si>
  <si>
    <t xml:space="preserve">Base do SAMU de 200/300/400 m² (premissa; endereço e escopo não informados).</t>
  </si>
  <si>
    <t xml:space="preserve">14 - Condições do prédio do Arquivo Público Municipal</t>
  </si>
  <si>
    <t xml:space="preserve">Arquivo Público Municipal de Ilhéus (endereço não informado)</t>
  </si>
  <si>
    <t xml:space="preserve">Prédio do Arquivo Público de 300/500/800 m² (premissa).</t>
  </si>
  <si>
    <t xml:space="preserve">Laudos estrutural e elétrico com ART e projeto de incêndio estão na contingência (projetos e laudos).</t>
  </si>
  <si>
    <t xml:space="preserve">15 - Condições estruturais da Clínica Municipal de Atendimento Especializado - CMAE (Av. Canavieiras)</t>
  </si>
  <si>
    <t xml:space="preserve">Av. Canavieiras</t>
  </si>
  <si>
    <t xml:space="preserve">Clínica (CMAE) de 300/450/600 m² (premissa). A mudança para outro imóvel pode dispensar a reforma.</t>
  </si>
  <si>
    <t xml:space="preserve">16 - Cozinhas e áreas de limpeza das escolas municipais (saúde e segurança do trabalho)</t>
  </si>
  <si>
    <t xml:space="preserve">Escolas da rede municipal (unidades não nomeadas)</t>
  </si>
  <si>
    <t xml:space="preserve">Adequação-tipo de cozinha escolar: abrigo de GLP, ventilação, revestimentos, caixa de gordura e bancada.</t>
  </si>
  <si>
    <t xml:space="preserve">5/10/20 cozinhas (premissa; a SEDUC ainda não enviou a lista).</t>
  </si>
  <si>
    <t xml:space="preserve">Exaustores não têm preço no SINAPI-BA usado e não estão incluídos. PGR, PCMSO, exames, EPIs e treinamentos cabem à SEDUC.</t>
  </si>
  <si>
    <t xml:space="preserve">1. Abrigo de GLP</t>
  </si>
  <si>
    <t xml:space="preserve">alvenaria do abrigo, 6 m² por unidade</t>
  </si>
  <si>
    <t xml:space="preserve">porta em gradil de aço</t>
  </si>
  <si>
    <t xml:space="preserve">piso cimentado</t>
  </si>
  <si>
    <t xml:space="preserve">2. Ventilação e revestimentos da cozinha</t>
  </si>
  <si>
    <t xml:space="preserve">janela adicional para ventilação</t>
  </si>
  <si>
    <t xml:space="preserve">demolição de piso</t>
  </si>
  <si>
    <t xml:space="preserve">3. Instalações e equipamentos</t>
  </si>
  <si>
    <t xml:space="preserve">98108</t>
  </si>
  <si>
    <t xml:space="preserve">CAIXA DE GORDURA DUPLA (CAPACIDADE: 126 L), RETANGULAR, EM ALVENARIA COM BLOCOS DE CONCRETO, DIMENSÕES INTERNAS = 0,4X0,7 M, ALTURA INTERNA = 0,8 M. AF_12/2020</t>
  </si>
  <si>
    <t xml:space="preserve">caixa de gordura dupla</t>
  </si>
  <si>
    <t xml:space="preserve">93441</t>
  </si>
  <si>
    <t xml:space="preserve">BANCADA GRANITO CINZA 150 X 60 CM, COM CUBA DE EMBUTIR DE AÇO, VÁLVULA AMERICANA EM METAL, SIFÃO FLEXÍVEL EM PVC, ENGATE FLEXÍVEL 30 CM, TORNEIRA CROMADA LONGA, DE PAREDE, 1/2" OU 3/4", P/ COZINHA, PADRÃO POPULAR - FORNEC. E INSTALAÇÃO. AF_02/2026</t>
  </si>
  <si>
    <t xml:space="preserve">bancada de granito com cuba de aço</t>
  </si>
  <si>
    <t xml:space="preserve">luminárias</t>
  </si>
  <si>
    <t xml:space="preserve">extintor</t>
  </si>
  <si>
    <t xml:space="preserve">17 - Requalificação do Estádio Municipal Mário Pessoa (Cidade Nova) – TAC</t>
  </si>
  <si>
    <t xml:space="preserve">Estádio Municipal Mário Pessoa, Praça Guadalajara, s/nº, Cidade Nova</t>
  </si>
  <si>
    <t xml:space="preserve">Itens do TAC de 2012: extintores, guarda-corpos, sinalização de saídas, casas de força, alarme e SPDA.</t>
  </si>
  <si>
    <t xml:space="preserve">Quantidades-tipo para estádio de pequeno porte (premissa; o relatório técnico pedido pela PGM deve confirmar).</t>
  </si>
  <si>
    <t xml:space="preserve">Central de alarme e acionadores não têm preço no SINAPI-BA usado e não estão incluídos.</t>
  </si>
  <si>
    <t xml:space="preserve">1. Segurança contra incêndio e pânico</t>
  </si>
  <si>
    <t xml:space="preserve">101911</t>
  </si>
  <si>
    <t xml:space="preserve">EXTINTOR DE INCÊNDIO PORTÁTIL COM CARGA DE PQS DE 12 KG, CLASSE BC - FORNECIMENTO E INSTALAÇÃO. AF_01/2026_PE</t>
  </si>
  <si>
    <t xml:space="preserve">extintores PQS 12 kg</t>
  </si>
  <si>
    <t xml:space="preserve">37558</t>
  </si>
  <si>
    <t xml:space="preserve">PLACA DE SINALIZACAO DE SEGURANCA CONTRA INCENDIO, FOTOLUMINESCENTE, RETANGULAR, *20 X 40* CM, EM PVC *2* MM ANTI-CHAMAS (SIMBOLOS, CORES E PICTOGRAMAS CONFORME NBR 16820)</t>
  </si>
  <si>
    <t xml:space="preserve">placas de saída de emergência</t>
  </si>
  <si>
    <t xml:space="preserve">2. Guarda-corpos</t>
  </si>
  <si>
    <t xml:space="preserve">99844</t>
  </si>
  <si>
    <t xml:space="preserve">GUARDA-CORPO DE AÇO GALVANIZADO DE 1,10M, MONTANTES TUBULARES DE 1.1/2" ESPAÇADOS 1,20M, TRAVESSA SUPERIOR DE 2", GRADIL FORMADO POR BARRAS CHATAS DE 32X4,8MM, FIXADO COM ADESIVO ESTRUTURAL EPOXI. AF_10/2025</t>
  </si>
  <si>
    <t xml:space="preserve">guarda-corpo de aço galvanizado 1,10 m</t>
  </si>
  <si>
    <t xml:space="preserve">3. SPDA</t>
  </si>
  <si>
    <t xml:space="preserve">96989</t>
  </si>
  <si>
    <t xml:space="preserve">CAPTOR TIPO FRANKLIN PARA SPDA - FORNECIMENTO E INSTALAÇÃO. AF_08/2023</t>
  </si>
  <si>
    <t xml:space="preserve">captores tipo Franklin</t>
  </si>
  <si>
    <t xml:space="preserve">96974</t>
  </si>
  <si>
    <t xml:space="preserve">CORDOALHA DE COBRE NU 50 MM², NÃO ENTERRADA, COM ISOLADOR - FORNECIMENTO E INSTALAÇÃO. AF_08/2023</t>
  </si>
  <si>
    <t xml:space="preserve">cordoalha de cobre nu 50 mm²</t>
  </si>
  <si>
    <t xml:space="preserve">4. Arquibancadas e acessibilidade</t>
  </si>
  <si>
    <t xml:space="preserve">pintura das arquibancadas e muros</t>
  </si>
  <si>
    <t xml:space="preserve">105004</t>
  </si>
  <si>
    <t xml:space="preserve">RAMPA DE ACESSIBILIDADE EM CONCRETO MOLDADO IN LOCO, EM CALÇADA NOVA COM LARGURA MENOR À 3,00 M, FCK 25MPA, COM PISO PODOTÁTIL. AF_03/2024</t>
  </si>
  <si>
    <t xml:space="preserve">rampas de acessibilidade</t>
  </si>
  <si>
    <t xml:space="preserve">Casas de força, vestiários e áreas cobertas - 1. Serviços preliminares</t>
  </si>
  <si>
    <t xml:space="preserve">Casas de força, vestiários e áreas cobertas - 2. Demolições e retiradas</t>
  </si>
  <si>
    <t xml:space="preserve">Casas de força, vestiários e áreas cobertas - 3. Cobertura e forro</t>
  </si>
  <si>
    <t xml:space="preserve">Casas de força, vestiários e áreas cobertas - 4. Revestimentos e pisos</t>
  </si>
  <si>
    <t xml:space="preserve">Casas de força, vestiários e áreas cobertas - 5. Pintura</t>
  </si>
  <si>
    <t xml:space="preserve">Casas de força, vestiários e áreas cobertas - 6. Esquadrias</t>
  </si>
  <si>
    <t xml:space="preserve">Casas de força, vestiários e áreas cobertas - 7. Instalações</t>
  </si>
  <si>
    <t xml:space="preserve">Casas de força, vestiários e áreas cobertas - 8. Prevenção contra incêndio</t>
  </si>
  <si>
    <t xml:space="preserve">Casas de força, vestiários e áreas cobertas - 9. Entulho</t>
  </si>
  <si>
    <t xml:space="preserve">18 - Drenagem pluvial e alagamentos nas Ruas Castro Alves e Barão do Rio Branco (Pontal)</t>
  </si>
  <si>
    <t xml:space="preserve">Ruas Castro Alves e Barão do Rio Branco, bairro Pontal</t>
  </si>
  <si>
    <t xml:space="preserve">Ruas Castro Alves e Barão do Rio Branco (Pontal): 2 ruas de 150/250/400 m (premissa).</t>
  </si>
  <si>
    <t xml:space="preserve">A EMBASA é corré: parte do custo pode caber à concessionária.</t>
  </si>
  <si>
    <t xml:space="preserve">vala 1.20 m x 1.60 m x L 300 m</t>
  </si>
  <si>
    <t xml:space="preserve">vala 1.20 m x 1.60 m x L 500 m</t>
  </si>
  <si>
    <t xml:space="preserve">vala 1.40 m x 1.80 m x L 800 m</t>
  </si>
  <si>
    <t xml:space="preserve">19 - Drenagem e pavimentação da Rua Aracuã (Nossa Senhora das Vitórias)</t>
  </si>
  <si>
    <t xml:space="preserve">Rua Aracuã, bairro Nossa Senhora das Vitórias</t>
  </si>
  <si>
    <t xml:space="preserve">Rua Aracuã: comprimento de 150/250/400 m (premissa; medir).</t>
  </si>
  <si>
    <t xml:space="preserve">Verificar se a rua está no escopo do Termo de Compromisso 969321/2024 (Novo PAC).</t>
  </si>
  <si>
    <t xml:space="preserve">20 - Abrigos de ônibus da Rodovia Jorge Amado (BR-415), perto do IFBA</t>
  </si>
  <si>
    <t xml:space="preserve">Rodovia Jorge Amado (BR-415), sentido Ilhéus–Itabuna, nas proximidades do IFBA</t>
  </si>
  <si>
    <t xml:space="preserve">Abrigo de passageiros-tipo de 4 m x 3 m com estrutura metálica, telha termoacústica, piso, banco e piso podotátil.</t>
  </si>
  <si>
    <t xml:space="preserve">2/3/4 abrigos (a sentença fala em "novos abrigos", sem número).</t>
  </si>
  <si>
    <t xml:space="preserve">1. Fundação</t>
  </si>
  <si>
    <t xml:space="preserve">escavação, 1 m³ por abrigo</t>
  </si>
  <si>
    <t xml:space="preserve">103669</t>
  </si>
  <si>
    <t xml:space="preserve">CONCRETAGEM DE PILARES, FCK = 25 MPA, COM USO DE BALDES - LANÇAMENTO, ADENSAMENTO E ACABAMENTO. AF_02/2022</t>
  </si>
  <si>
    <t xml:space="preserve">concreto de fundação, 0,8 m³ por abrigo</t>
  </si>
  <si>
    <t xml:space="preserve">armação, 40 kg por abrigo</t>
  </si>
  <si>
    <t xml:space="preserve">2. Estrutura e cobertura</t>
  </si>
  <si>
    <t xml:space="preserve">estrutura de aço, 300 kg por abrigo</t>
  </si>
  <si>
    <t xml:space="preserve">telha metálica termoacústica, 12 m² por abrigo</t>
  </si>
  <si>
    <t xml:space="preserve">3. Piso, banco e acessibilidade</t>
  </si>
  <si>
    <t xml:space="preserve">piso de concreto 8 cm, 12 m² por abrigo</t>
  </si>
  <si>
    <t xml:space="preserve">banco em concreto, 0,3 m³ por abrigo</t>
  </si>
  <si>
    <t xml:space="preserve">104658</t>
  </si>
  <si>
    <t xml:space="preserve">PISO PODOTÁTIL DE ALERTA OU DIRECIONAL, DE CONCRETO, ASSENTADO SOBRE ARGAMASSA. AF_03/2024</t>
  </si>
  <si>
    <t xml:space="preserve">piso podotátil, 4 m² por abrigo</t>
  </si>
  <si>
    <t xml:space="preserve">21 - Creche Municipal Padrão de 6 salas da Rua Genésio Santos (Teotônio Vilela)</t>
  </si>
  <si>
    <t xml:space="preserve">Rua Genésio Santos, s/n, bairro Teotônio Vilela</t>
  </si>
  <si>
    <t xml:space="preserve">Creche padrão de 6 salas (documento) com 700/800/900 m² e remanescente de 30/50/70% (premissa).</t>
  </si>
  <si>
    <t xml:space="preserve">Situação atual da obra e do contrato não informada (último documento de 2023).</t>
  </si>
  <si>
    <t xml:space="preserve">22 - Requalificação e ampliação do Complexo Esportivo Campo do Rodão (Teotônio Vilela)</t>
  </si>
  <si>
    <t xml:space="preserve">Complexo Esportivo Campo do Rodão, bairro Teotônio Vilela</t>
  </si>
  <si>
    <t xml:space="preserve">Campo de futebol de 70x45 / 90x60 / 100x64 m com gramado, drenagem, alambrado, calçadas e vestiário de 60/80/120 m².</t>
  </si>
  <si>
    <t xml:space="preserve">2. Campo</t>
  </si>
  <si>
    <t xml:space="preserve">regularização do campo 70 m x 45 m</t>
  </si>
  <si>
    <t xml:space="preserve">106543</t>
  </si>
  <si>
    <t xml:space="preserve">ASSENTAMENTO DE TUBO DRENO DE PEAD CORRUGADO EM GEOCOMPOSTO, DN 160 MM - FORNECIMENTO E INSTALAÇÃO. AF_01/2026</t>
  </si>
  <si>
    <t xml:space="preserve">drenos DN 160 mm a cada 5 m</t>
  </si>
  <si>
    <t xml:space="preserve">gramado em placas</t>
  </si>
  <si>
    <t xml:space="preserve">3. Fechamento e acessos</t>
  </si>
  <si>
    <t xml:space="preserve">98522</t>
  </si>
  <si>
    <t xml:space="preserve">ALAMBRADO EM MOURÕES DE CONCRETO, COM TELA DE ARAME GALVANIZADO (INCLUSIVE MURETA EM CONCRETO). AF_12/2025</t>
  </si>
  <si>
    <t xml:space="preserve">alambrado com mourões de concreto no perímetro + 20 m</t>
  </si>
  <si>
    <t xml:space="preserve">calçadas e acessos</t>
  </si>
  <si>
    <t xml:space="preserve">regularização do campo 90 m x 60 m</t>
  </si>
  <si>
    <t xml:space="preserve">regularização do campo 100 m x 64 m</t>
  </si>
  <si>
    <t xml:space="preserve">23 - Infraestrutura básica do Loteamento Santa Cruz (cumprimento de sentença)</t>
  </si>
  <si>
    <t xml:space="preserve">Loteamento Santa Cruz</t>
  </si>
  <si>
    <t xml:space="preserve">Sentença: infraestrutura básica do Loteamento Santa Cruz (drenagem, esgoto, água, iluminação, pavimentação e meio-fio).</t>
  </si>
  <si>
    <t xml:space="preserve">Extensão total de vias de 600/1.000/1.600 m (premissa; a poligonal da sentença não consta do pacote).</t>
  </si>
  <si>
    <t xml:space="preserve">Infraestrutura básica por metro de via: via-tipo (drenagem, pavimentação, meio-fio, sarjeta, passeio e sinalização) + rede de água PVC DN 50 + rede de esgoto PVC DN 150 com PV a cada 60 m + luminária LED a cada 35 m em poste existente.</t>
  </si>
  <si>
    <t xml:space="preserve">Ligações domiciliares, postes novos, estação elevatória e tratamento de esgoto não estão incluídos; parte da água e do esgoto pode caber à concessionária.</t>
  </si>
  <si>
    <t xml:space="preserve">vala 1.20 m x 1.60 m x L 600 m</t>
  </si>
  <si>
    <t xml:space="preserve">6. Rede de água</t>
  </si>
  <si>
    <t xml:space="preserve">102279</t>
  </si>
  <si>
    <t xml:space="preserve">ESCAVAÇÃO MECANIZADA DE VALA COM PROF. ATÉ 1,5 M (MÉDIA MONTANTE E JUSANTE/UMA COMPOSIÇÃO POR TRECHO), ESCAVADEIRA (0,8 M3),LARG. MENOR QUE 1,5 M, EM SOLO DE 1A CATEGORIA, LOCAIS COM BAIXO NÍVEL DE INTERFERÊNCIA. AF_09/2024</t>
  </si>
  <si>
    <t xml:space="preserve">vala 0,6 m x 1,0 m ao longo de L</t>
  </si>
  <si>
    <t xml:space="preserve">36084</t>
  </si>
  <si>
    <t xml:space="preserve">TUBO PVC PBA JEI, CLASSE 12, DN 50 MM, PARA REDE DE AGUA (NBR 5647)</t>
  </si>
  <si>
    <t xml:space="preserve">tubo PVC PBA DN 50 (insumo)</t>
  </si>
  <si>
    <t xml:space="preserve">97124</t>
  </si>
  <si>
    <t xml:space="preserve">ASSENTAMENTO DE TUBO DE PVC PBA PARA REDE DE ÁGUA, DN 50 MM, JUNTA ELÁSTICA INTEGRADA, INSTALADO EM LOCAL COM NÍVEL BAIXO DE INTERFERÊNCIAS (NÃO INCLUI FORNECIMENTO). AF_05/2024</t>
  </si>
  <si>
    <t xml:space="preserve">assentamento do tubo DN 50</t>
  </si>
  <si>
    <t xml:space="preserve">93379</t>
  </si>
  <si>
    <t xml:space="preserve">REATERRO MECANIZADO DE VALA COM RETROESCAVADEIRA (CAPACIDADE DA CAÇAMBA DA RETRO: 0,26 M³/POTÊNCIA: 88 HP), LARGURA 0,8 A 1,5 M, PROFUNDIDADE ATÉ 1,5 M, COM SOLO (SEM SUBSTITUIÇÃO) DE 1ª CATEGORIA, COM COMPACTADOR DE SOLOS DE PERCUSSÃO AF_08/2023</t>
  </si>
  <si>
    <t xml:space="preserve">reaterro da vala</t>
  </si>
  <si>
    <t xml:space="preserve">7. Rede de esgoto</t>
  </si>
  <si>
    <t xml:space="preserve">vala 0,8 m x 1,5 m ao longo de L</t>
  </si>
  <si>
    <t xml:space="preserve">90695</t>
  </si>
  <si>
    <t xml:space="preserve">TUBO DE PVC PARA REDE COLETORA DE ESGOTO DE PAREDE MACIÇA, DN 150 MM, JUNTA ELÁSTICA - FORNECIMENTO E ASSENTAMENTO. AF_01/2021</t>
  </si>
  <si>
    <t xml:space="preserve">tubo PVC DN 150 - fornecimento e assentamento</t>
  </si>
  <si>
    <t xml:space="preserve">97978</t>
  </si>
  <si>
    <t xml:space="preserve">BASE PARA POÇO DE VISITA CIRCULAR PARA ESGOTO, EM CONCRETO PRÉ-MOLDADO, DIÂMETRO INTERNO = 0,80 M, PROFUNDIDADE = 1,35 M, EXCLUINDO TAMPÃO. AF_12/2020</t>
  </si>
  <si>
    <t xml:space="preserve">PV pré-moldado DN 0,8 m a cada 60 m + 1</t>
  </si>
  <si>
    <t xml:space="preserve">8. Iluminação pública</t>
  </si>
  <si>
    <t xml:space="preserve">101656</t>
  </si>
  <si>
    <t xml:space="preserve">LUMINÁRIA DE LED PARA ILUMINAÇÃO PÚBLICA, DE 68 W ATÉ 97 W - FORNECIMENTO E INSTALAÇÃO. AF_02/2025_PS</t>
  </si>
  <si>
    <t xml:space="preserve">luminária LED 68-97 W a cada 35 m</t>
  </si>
  <si>
    <t xml:space="preserve">101636</t>
  </si>
  <si>
    <t xml:space="preserve">BRAÇO PARA ILUMINAÇÃO PÚBLICA, EM TUBO DE AÇO GALVANIZADO, COMPRIMENTO DE 1,50 M, PARA FIXAÇÃO EM POSTE DE CONCRETO - FORNECIMENTO E INSTALAÇÃO. AF_02/2025_PS</t>
  </si>
  <si>
    <t xml:space="preserve">braço de 1,5 m para poste de concreto</t>
  </si>
  <si>
    <t xml:space="preserve">vala 1.20 m x 1.60 m x L 1000 m</t>
  </si>
  <si>
    <t xml:space="preserve">24 - Estabilização de encosta da Ladeira Júlio Bagana / Rua Rio Almada (Tapera)</t>
  </si>
  <si>
    <t xml:space="preserve">Ladeira Júlio Bagana (Rua Rio Almada), bairro Tapera</t>
  </si>
  <si>
    <t xml:space="preserve">Estabilização de encosta da Ladeira Júlio Bagana / Rua Rio Almada (Tapera); obra paralisada e contrato anterior extinto.</t>
  </si>
  <si>
    <t xml:space="preserve">Face de 600/1.000/1.400 m² (premissa). O levantamento técnico em curso deve indicar o remanescente: parte da obra pode já ter sido executada.</t>
  </si>
  <si>
    <t xml:space="preserve">Solução-tipo: solo grampeado com concreto projetado e drenagem; grampos 2,0/1,5/1,25 m com 6/8/12 m; concreto 10/10/15 cm.</t>
  </si>
  <si>
    <t xml:space="preserve">Recuperação do pavimento da ladeira não está incluída.</t>
  </si>
  <si>
    <t xml:space="preserve">25 - Unidade de Acolhimento Renascer: projeto de incêndio e reforma (Conquista)</t>
  </si>
  <si>
    <t xml:space="preserve">Unidade de Acolhimento Renascer, Av. Princesa Isabel, nº 1554, bairro Conquista</t>
  </si>
  <si>
    <t xml:space="preserve">Acordo homologado: reforma da Unidade de Acolhimento Renascer, projeto de segurança contra incêndio, saída de emergência e armários.</t>
  </si>
  <si>
    <t xml:space="preserve">Imóvel de 200/300/450 m² (premissa); 1/1/2 portas corta-fogo na rota de saída.</t>
  </si>
  <si>
    <t xml:space="preserve">Projeto de segurança contra incêndio na contingência (projetos). Armários de alvenaria não estão incluídos.</t>
  </si>
  <si>
    <t xml:space="preserve">90838</t>
  </si>
  <si>
    <t xml:space="preserve">PORTA CORTA-FOGO 90X210X5CM - FORNECIMENTO E INSTALAÇÃO. AF_10/2025</t>
  </si>
  <si>
    <t xml:space="preserve">porta corta-fogo 90x210 na rota de saída de emergência</t>
  </si>
  <si>
    <t xml:space="preserve">Demandas-tipo (premissas a aprovar uma vez por engenheiro revisor)</t>
  </si>
  <si>
    <t xml:space="preserve">Demanda-tipo</t>
  </si>
  <si>
    <t xml:space="preserve">Unidade-chave</t>
  </si>
  <si>
    <t xml:space="preserve">Premissas e coeficientes (mín/prov/máx)</t>
  </si>
  <si>
    <t xml:space="preserve">Via urbana com drenagem e pavimentação</t>
  </si>
  <si>
    <t xml:space="preserve">metro de via</t>
  </si>
  <si>
    <t xml:space="preserve">Pista 5/6/7 m; passeios 1,2/1,5/2,0 m; base+sub-base 15/20/30 cm; CBUQ 4/5/5 cm; rede DN 600/600/800; PV a cada 40 m; 2 BL a cada 40 m; meio-fio, sarjeta, passeio, rampas e faixas.</t>
  </si>
  <si>
    <t xml:space="preserve">Microdrenagem em via existente</t>
  </si>
  <si>
    <t xml:space="preserve">metro de rede</t>
  </si>
  <si>
    <t xml:space="preserve">Vala DN+0,6 x DN+1,0 m; tubo de concreto; PV a cada 40 m; 2 BL a cada 40 m com ligação DN 400; recomposição de base 20 cm e CBUQ 5 cm na faixa da vala; bota-fora a 10 km.</t>
  </si>
  <si>
    <t xml:space="preserve">Contenção de encosta (solo grampeado + concreto projetado)</t>
  </si>
  <si>
    <t xml:space="preserve">m² de face</t>
  </si>
  <si>
    <t xml:space="preserve">Grampos em malha 2,0/1,5/1,25 m, comprimento 6/8/12 m; concreto projetado 10/10/15 cm; drenos 0,6 m/m²; canaletas de crista e pé; descidas d'água; grama em 30% da área. Calibrada com a média do Novo PAC Encostas citada nos documentos (R$ 1.692/m²).</t>
  </si>
  <si>
    <t xml:space="preserve">Edificação térrea nova</t>
  </si>
  <si>
    <t xml:space="preserve">m² construído</t>
  </si>
  <si>
    <t xml:space="preserve">Concreto 0,12 m³/m²; aço 10 kg/m²; fôrma 1,1 m²/m²; alvenaria 1,5 m²/m²; cobertura cerâmica 1,25 m²/m²; forro PVC; piso cerâmico; portas 1/15 m²; janelas 0,15 m²/m²; elétrica e hidrossanitária simplificadas; prevenção contra incêndio básica. Remanescente de obra = fração da área.</t>
  </si>
  <si>
    <t xml:space="preserve">Reforma predial</t>
  </si>
  <si>
    <t xml:space="preserve">m² reformado</t>
  </si>
  <si>
    <t xml:space="preserve">Fração refeita de cobertura/forro/piso/reboco/esquadrias/instalações: 20/20/10/10/10/20% (leve), 50/50/30/30/30/50% (média), 100/100/60/60/60/100% (pesada); pintura integral; extintores, emergência e rota de fuga.</t>
  </si>
  <si>
    <t xml:space="preserve">Quadra poliesportiva coberta</t>
  </si>
  <si>
    <t xml:space="preserve">unidade</t>
  </si>
  <si>
    <t xml:space="preserve">Piso 32 x 20 m em concreto armado 8 cm; cobertura metálica 748 m² (18/25/32 kg/m² de aço); alambrado 104 x 2 m; tabelas; refletores; vestiário 0/40/60 m².</t>
  </si>
  <si>
    <t xml:space="preserve">Campo de futebol</t>
  </si>
  <si>
    <t xml:space="preserve">Campo 70x45 / 90x60 / 100x64 m; regularização; drenos a cada 5 m; grama em placas; alambrado; calçadas; vestiário 60/80/120 m².</t>
  </si>
  <si>
    <t xml:space="preserve">Abrigo de passageiros</t>
  </si>
  <si>
    <t xml:space="preserve">Abrigo 4 x 3 m: fundação, estrutura de aço 300 kg, telha termoacústica 12 m², piso 12 m², banco e piso podotátil.</t>
  </si>
  <si>
    <t xml:space="preserve">Adequação de cozinha escolar</t>
  </si>
  <si>
    <t xml:space="preserve">Abrigo de GLP, janela de ventilação, 15 m² de revestimento de parede e de piso, caixa de gordura, bancada, pontos elétricos, luminárias e extintor (sem exaustor: sem preço no SINAPI-BA).</t>
  </si>
  <si>
    <t xml:space="preserve">Banheiro com chuveiro + grade</t>
  </si>
  <si>
    <t xml:space="preserve">Banheiro de cerca de 4 m² com louças, chuveiro, instalações e porta; grade de aço de 2,1 m² na porta de entrada.</t>
  </si>
  <si>
    <t xml:space="preserve">Proteção emergencial de fachada</t>
  </si>
  <si>
    <t xml:space="preserve">verba por quantidades</t>
  </si>
  <si>
    <t xml:space="preserve">Tapume, estroncas de eucalipto com mão de obra, montagem de andaime fachadeiro, tela de proteção e lona na cobertura.</t>
  </si>
  <si>
    <t xml:space="preserve">Adequação de segurança de estádio</t>
  </si>
  <si>
    <t xml:space="preserve">Extintores, luminárias de emergência, sinalização de saída, guarda-corpos, SPDA, pintura de arquibancadas, rampas e reforma de casas de força/vestiários.</t>
  </si>
  <si>
    <t xml:space="preserve">Casa térrea + parque linear</t>
  </si>
  <si>
    <t xml:space="preserve">unidade / m²</t>
  </si>
  <si>
    <t xml:space="preserve">Casa de 40/42/45 m² com a edificação-tipo (perfil residencial); parque com gramado em 70% e passeios em 20% da área.</t>
  </si>
  <si>
    <t xml:space="preserve">Infraestrutura básica de loteamento (Justiça)</t>
  </si>
  <si>
    <t xml:space="preserve">Via urbana-tipo + rede de água PVC DN 50 (vala 0,6 x 1,0 m) + rede de esgoto PVC DN 150 (vala 0,8 x 1,5 m, PV pré-moldado a cada 60 m) + luminária LED 68-97 W com braço a cada 35 m, em poste existente.</t>
  </si>
  <si>
    <t xml:space="preserve">Reforma de unidade de acolhimento (Justiça)</t>
  </si>
  <si>
    <t xml:space="preserve">Reforma predial-tipo + porta corta-fogo na rota de saída (1/1/2 unidades); projeto de segurança contra incêndio na contingência.</t>
  </si>
  <si>
    <t xml:space="preserve">Fontes e limitações</t>
  </si>
  <si>
    <t xml:space="preserve">SINAPI/CAIXA - Relatórios mensais, ref. 08/2026 (publicado em 11/09/2026), recorte BA, regime sem desoneração: composições (aba CSD) e insumos (aba ISD). Arquivo: _PRECOS/SINAPI_BA_NAO_DESONERADO_2026_08.zip.</t>
  </si>
  <si>
    <t xml:space="preserve">Acórdão n. 2.622/2013-TCU-Plenário - faixas referenciais de BDI (construção de edifícios; construção de rodovias e ferrovias). Conferido em reproduções públicas do texto.</t>
  </si>
  <si>
    <t xml:space="preserve">IBRAOP - OT-IBR 004/2012 (precisão do orçamento de obras públicas): ±30% para estudos preliminares em edificações. Conferido em documentos que reproduzem a OT.</t>
  </si>
  <si>
    <t xml:space="preserve">CAIXA - SINAPI: metodologias e conceitos (coleta de preços nas capitais, sem frete). Conferido em reprodução pública.</t>
  </si>
  <si>
    <t xml:space="preserve">Base legal: nos termos da Lei n. 14.133/2021 e do Decreto Municipal n. 269/2025 (citados sem artigo).</t>
  </si>
  <si>
    <t xml:space="preserve">Quantidades: documentos dos pacotes MP_FILTRADO de 12/10/2026 (mp_objetos.json) e JUSTICA_FILTRADO de 13/10/2026 (justica_objetos.json) e demandas-tipo desta planilha.</t>
  </si>
  <si>
    <t xml:space="preserve">Limitação: composições sem preço na BA (ex.: imprimação, pintura de ligação, exaustores, central de alarme, locação de andaime) não estão incluídas; quantidades da maioria dos objetos são premissas a confirmar.</t>
  </si>
  <si>
    <t xml:space="preserve">Limitação: OpenStreetMap e sites oficiais não puderam ser acessados neste ambiente; comprimentos de ruas não foram medidos.</t>
  </si>
  <si>
    <t xml:space="preserve">Contratos da SEINFRA e editais de outras prefeituras não foram usados como base de preço.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</si>
</sst>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0.00%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6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10" min="8" style="0" width="16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n">
        <v>1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6" t="n">
        <f aca="false">'01_MPBA_001.9.102305.2021'!J62</f>
        <v>20375.386944066</v>
      </c>
      <c r="I6" s="6" t="n">
        <f aca="false">'01_MPBA_001.9.102305.2021'!K62</f>
        <v>31196.761546984</v>
      </c>
      <c r="J6" s="6" t="n">
        <f aca="false">'01_MPBA_001.9.102305.2021'!L62</f>
        <v>554590.51998625</v>
      </c>
      <c r="K6" s="5" t="s">
        <v>20</v>
      </c>
    </row>
    <row r="7" customFormat="false" ht="15" hidden="false" customHeight="false" outlineLevel="0" collapsed="false">
      <c r="A7" s="5" t="n">
        <v>2</v>
      </c>
      <c r="B7" s="5" t="s">
        <v>21</v>
      </c>
      <c r="C7" s="5" t="s">
        <v>22</v>
      </c>
      <c r="D7" s="5" t="s">
        <v>16</v>
      </c>
      <c r="E7" s="5" t="s">
        <v>17</v>
      </c>
      <c r="F7" s="5" t="s">
        <v>23</v>
      </c>
      <c r="G7" s="5" t="s">
        <v>24</v>
      </c>
      <c r="H7" s="6" t="n">
        <f aca="false">'02_MPBA_001.9.190096.2025'!J55</f>
        <v>330852.0063156</v>
      </c>
      <c r="I7" s="6" t="n">
        <f aca="false">'02_MPBA_001.9.190096.2025'!K55</f>
        <v>781244.31654368</v>
      </c>
      <c r="J7" s="6" t="n">
        <f aca="false">'02_MPBA_001.9.190096.2025'!L55</f>
        <v>1609322.696575</v>
      </c>
      <c r="K7" s="5" t="s">
        <v>25</v>
      </c>
    </row>
    <row r="8" customFormat="false" ht="15" hidden="false" customHeight="false" outlineLevel="0" collapsed="false">
      <c r="A8" s="5" t="n">
        <v>3</v>
      </c>
      <c r="B8" s="5" t="s">
        <v>26</v>
      </c>
      <c r="C8" s="5" t="s">
        <v>27</v>
      </c>
      <c r="D8" s="5" t="s">
        <v>16</v>
      </c>
      <c r="E8" s="5" t="s">
        <v>17</v>
      </c>
      <c r="F8" s="5" t="s">
        <v>28</v>
      </c>
      <c r="G8" s="5" t="s">
        <v>29</v>
      </c>
      <c r="H8" s="6" t="n">
        <f aca="false">'03_MPBA_001.9.24192.2024'!J41</f>
        <v>2199510.94038312</v>
      </c>
      <c r="I8" s="6" t="n">
        <f aca="false">'03_MPBA_001.9.24192.2024'!K41</f>
        <v>2756332.966302</v>
      </c>
      <c r="J8" s="6" t="n">
        <f aca="false">'03_MPBA_001.9.24192.2024'!L41</f>
        <v>4174865.17984169</v>
      </c>
      <c r="K8" s="5" t="s">
        <v>30</v>
      </c>
    </row>
    <row r="9" customFormat="false" ht="15" hidden="false" customHeight="false" outlineLevel="0" collapsed="false">
      <c r="A9" s="5" t="n">
        <v>4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5" t="s">
        <v>33</v>
      </c>
      <c r="H9" s="6" t="n">
        <f aca="false">'04_MPBA_001.9.250850.2021'!J38</f>
        <v>8137.2391716</v>
      </c>
      <c r="I9" s="6" t="n">
        <f aca="false">'04_MPBA_001.9.250850.2021'!K38</f>
        <v>10266.79460532</v>
      </c>
      <c r="J9" s="6" t="n">
        <f aca="false">'04_MPBA_001.9.250850.2021'!L38</f>
        <v>16216.155965625</v>
      </c>
      <c r="K9" s="5" t="s">
        <v>34</v>
      </c>
    </row>
    <row r="10" customFormat="false" ht="15" hidden="false" customHeight="false" outlineLevel="0" collapsed="false">
      <c r="A10" s="5" t="n">
        <v>5</v>
      </c>
      <c r="B10" s="5" t="s">
        <v>35</v>
      </c>
      <c r="C10" s="5" t="s">
        <v>36</v>
      </c>
      <c r="D10" s="5" t="s">
        <v>16</v>
      </c>
      <c r="E10" s="5" t="s">
        <v>17</v>
      </c>
      <c r="F10" s="5" t="s">
        <v>28</v>
      </c>
      <c r="G10" s="5" t="s">
        <v>37</v>
      </c>
      <c r="H10" s="6" t="n">
        <f aca="false">'05_MPBA_001.9.379764.2023'!J39</f>
        <v>63307.48679892</v>
      </c>
      <c r="I10" s="6" t="n">
        <f aca="false">'05_MPBA_001.9.379764.2023'!K39</f>
        <v>118557.418365177</v>
      </c>
      <c r="J10" s="6" t="n">
        <f aca="false">'05_MPBA_001.9.379764.2023'!L39</f>
        <v>351155.122714659</v>
      </c>
      <c r="K10" s="5" t="s">
        <v>38</v>
      </c>
    </row>
    <row r="11" customFormat="false" ht="15" hidden="false" customHeight="false" outlineLevel="0" collapsed="false">
      <c r="A11" s="5" t="n">
        <v>6</v>
      </c>
      <c r="B11" s="5" t="s">
        <v>39</v>
      </c>
      <c r="C11" s="5" t="s">
        <v>40</v>
      </c>
      <c r="D11" s="5" t="s">
        <v>16</v>
      </c>
      <c r="E11" s="5" t="s">
        <v>17</v>
      </c>
      <c r="F11" s="5" t="s">
        <v>41</v>
      </c>
      <c r="G11" s="5" t="s">
        <v>42</v>
      </c>
      <c r="H11" s="6" t="n">
        <f aca="false">'06_MPBA_001.9.52800.2024'!J72</f>
        <v>638222.7754287</v>
      </c>
      <c r="I11" s="6" t="n">
        <f aca="false">'06_MPBA_001.9.52800.2024'!K72</f>
        <v>855621.591715704</v>
      </c>
      <c r="J11" s="6" t="n">
        <f aca="false">'06_MPBA_001.9.52800.2024'!L72</f>
        <v>1166732.33325</v>
      </c>
      <c r="K11" s="5" t="s">
        <v>43</v>
      </c>
    </row>
    <row r="12" customFormat="false" ht="15" hidden="false" customHeight="false" outlineLevel="0" collapsed="false">
      <c r="A12" s="5" t="n">
        <v>7</v>
      </c>
      <c r="B12" s="5" t="s">
        <v>44</v>
      </c>
      <c r="C12" s="5" t="s">
        <v>45</v>
      </c>
      <c r="D12" s="5" t="s">
        <v>16</v>
      </c>
      <c r="E12" s="5" t="s">
        <v>17</v>
      </c>
      <c r="F12" s="5" t="s">
        <v>23</v>
      </c>
      <c r="G12" s="5" t="s">
        <v>46</v>
      </c>
      <c r="H12" s="6" t="n">
        <f aca="false">'07_MPBA_003.9.153337.2023'!J53</f>
        <v>297660.85913025</v>
      </c>
      <c r="I12" s="6" t="n">
        <f aca="false">'07_MPBA_003.9.153337.2023'!K53</f>
        <v>907542.491340672</v>
      </c>
      <c r="J12" s="6" t="n">
        <f aca="false">'07_MPBA_003.9.153337.2023'!L53</f>
        <v>2481754.0125675</v>
      </c>
      <c r="K12" s="5" t="s">
        <v>47</v>
      </c>
    </row>
    <row r="13" customFormat="false" ht="15" hidden="false" customHeight="false" outlineLevel="0" collapsed="false">
      <c r="A13" s="5" t="n">
        <v>8</v>
      </c>
      <c r="B13" s="5" t="s">
        <v>48</v>
      </c>
      <c r="C13" s="5" t="s">
        <v>49</v>
      </c>
      <c r="D13" s="5" t="s">
        <v>16</v>
      </c>
      <c r="E13" s="5" t="s">
        <v>17</v>
      </c>
      <c r="F13" s="5" t="s">
        <v>28</v>
      </c>
      <c r="G13" s="5" t="s">
        <v>50</v>
      </c>
      <c r="H13" s="6" t="n">
        <f aca="false">'08_MPBA_003.9.198543.2025'!J39</f>
        <v>160465.94404386</v>
      </c>
      <c r="I13" s="6" t="n">
        <f aca="false">'08_MPBA_003.9.198543.2025'!K39</f>
        <v>282387.836645255</v>
      </c>
      <c r="J13" s="6" t="n">
        <f aca="false">'08_MPBA_003.9.198543.2025'!L39</f>
        <v>694200.074477024</v>
      </c>
      <c r="K13" s="5" t="s">
        <v>51</v>
      </c>
    </row>
    <row r="14" customFormat="false" ht="15" hidden="false" customHeight="false" outlineLevel="0" collapsed="false">
      <c r="A14" s="5" t="n">
        <v>9</v>
      </c>
      <c r="B14" s="5" t="s">
        <v>52</v>
      </c>
      <c r="C14" s="5" t="s">
        <v>53</v>
      </c>
      <c r="D14" s="5" t="s">
        <v>16</v>
      </c>
      <c r="E14" s="5" t="s">
        <v>17</v>
      </c>
      <c r="F14" s="5" t="s">
        <v>28</v>
      </c>
      <c r="G14" s="5" t="s">
        <v>54</v>
      </c>
      <c r="H14" s="6" t="n">
        <f aca="false">'09_MPBA_003.9.476383.2022'!J52</f>
        <v>307680.84760686</v>
      </c>
      <c r="I14" s="6" t="n">
        <f aca="false">'09_MPBA_003.9.476383.2022'!K52</f>
        <v>659546.560882605</v>
      </c>
      <c r="J14" s="6" t="n">
        <f aca="false">'09_MPBA_003.9.476383.2022'!L52</f>
        <v>1748983.4844538</v>
      </c>
      <c r="K14" s="5" t="s">
        <v>55</v>
      </c>
    </row>
    <row r="15" customFormat="false" ht="15" hidden="false" customHeight="false" outlineLevel="0" collapsed="false">
      <c r="A15" s="5" t="n">
        <v>10</v>
      </c>
      <c r="B15" s="5" t="s">
        <v>56</v>
      </c>
      <c r="C15" s="5" t="s">
        <v>57</v>
      </c>
      <c r="D15" s="5" t="s">
        <v>58</v>
      </c>
      <c r="E15" s="5" t="s">
        <v>17</v>
      </c>
      <c r="F15" s="5" t="s">
        <v>59</v>
      </c>
      <c r="G15" s="5" t="s">
        <v>60</v>
      </c>
      <c r="H15" s="6" t="n">
        <f aca="false">'10_MPF_.000105-2023'!J33</f>
        <v>1328465.09724667</v>
      </c>
      <c r="I15" s="6" t="n">
        <f aca="false">'10_MPF_.000105-2023'!K33</f>
        <v>2292498.29711795</v>
      </c>
      <c r="J15" s="6" t="n">
        <f aca="false">'10_MPF_.000105-2023'!L33</f>
        <v>4832014.295955</v>
      </c>
      <c r="K15" s="5" t="s">
        <v>61</v>
      </c>
    </row>
    <row r="16" customFormat="false" ht="15" hidden="false" customHeight="false" outlineLevel="0" collapsed="false">
      <c r="A16" s="5" t="n">
        <v>11</v>
      </c>
      <c r="B16" s="5" t="s">
        <v>62</v>
      </c>
      <c r="C16" s="5" t="s">
        <v>63</v>
      </c>
      <c r="D16" s="5" t="s">
        <v>58</v>
      </c>
      <c r="E16" s="5" t="s">
        <v>17</v>
      </c>
      <c r="F16" s="5" t="s">
        <v>64</v>
      </c>
      <c r="G16" s="5" t="s">
        <v>65</v>
      </c>
      <c r="H16" s="6" t="n">
        <f aca="false">'11_MPF_.000183-2023'!J57</f>
        <v>7461124.56767832</v>
      </c>
      <c r="I16" s="6" t="n">
        <f aca="false">'11_MPF_.000183-2023'!K57</f>
        <v>8393660.71398554</v>
      </c>
      <c r="J16" s="6" t="n">
        <f aca="false">'11_MPF_.000183-2023'!L57</f>
        <v>10752291.9834</v>
      </c>
      <c r="K16" s="5" t="s">
        <v>66</v>
      </c>
    </row>
    <row r="17" customFormat="false" ht="15" hidden="false" customHeight="false" outlineLevel="0" collapsed="false">
      <c r="A17" s="5" t="n">
        <v>12</v>
      </c>
      <c r="B17" s="5" t="s">
        <v>67</v>
      </c>
      <c r="C17" s="5" t="s">
        <v>68</v>
      </c>
      <c r="D17" s="5" t="s">
        <v>58</v>
      </c>
      <c r="E17" s="5" t="s">
        <v>17</v>
      </c>
      <c r="F17" s="5" t="s">
        <v>23</v>
      </c>
      <c r="G17" s="5" t="s">
        <v>69</v>
      </c>
      <c r="H17" s="6" t="n">
        <f aca="false">12_SN_MPF_FNDE_2023!J138</f>
        <v>1290541.41567028</v>
      </c>
      <c r="I17" s="6" t="n">
        <f aca="false">12_SN_MPF_FNDE_2023!K138</f>
        <v>2284651.7758585</v>
      </c>
      <c r="J17" s="6" t="n">
        <f aca="false">12_SN_MPF_FNDE_2023!L138</f>
        <v>3763734.43457</v>
      </c>
      <c r="K17" s="5" t="s">
        <v>70</v>
      </c>
    </row>
    <row r="18" customFormat="false" ht="15" hidden="false" customHeight="false" outlineLevel="0" collapsed="false">
      <c r="A18" s="5" t="n">
        <v>13</v>
      </c>
      <c r="B18" s="5" t="s">
        <v>71</v>
      </c>
      <c r="C18" s="5" t="s">
        <v>72</v>
      </c>
      <c r="D18" s="5" t="s">
        <v>73</v>
      </c>
      <c r="E18" s="5" t="s">
        <v>17</v>
      </c>
      <c r="F18" s="5" t="s">
        <v>18</v>
      </c>
      <c r="G18" s="5" t="s">
        <v>46</v>
      </c>
      <c r="H18" s="6" t="n">
        <f aca="false">'13_MPT_000120.2022'!J52</f>
        <v>43249.121929398</v>
      </c>
      <c r="I18" s="6" t="n">
        <f aca="false">'13_MPT_000120.2022'!K52</f>
        <v>139248.081038</v>
      </c>
      <c r="J18" s="6" t="n">
        <f aca="false">'13_MPT_000120.2022'!L52</f>
        <v>400710.7983175</v>
      </c>
      <c r="K18" s="5" t="s">
        <v>74</v>
      </c>
    </row>
    <row r="19" customFormat="false" ht="15" hidden="false" customHeight="false" outlineLevel="0" collapsed="false">
      <c r="A19" s="5" t="n">
        <v>14</v>
      </c>
      <c r="B19" s="5" t="s">
        <v>75</v>
      </c>
      <c r="C19" s="5" t="s">
        <v>76</v>
      </c>
      <c r="D19" s="5" t="s">
        <v>73</v>
      </c>
      <c r="E19" s="5" t="s">
        <v>17</v>
      </c>
      <c r="F19" s="5" t="s">
        <v>18</v>
      </c>
      <c r="G19" s="5" t="s">
        <v>46</v>
      </c>
      <c r="H19" s="6" t="n">
        <f aca="false">'14_MPT_000252.2024'!J53</f>
        <v>62764.16907915</v>
      </c>
      <c r="I19" s="6" t="n">
        <f aca="false">'14_MPT_000252.2024'!K53</f>
        <v>229637.195162672</v>
      </c>
      <c r="J19" s="6" t="n">
        <f aca="false">'14_MPT_000252.2024'!L53</f>
        <v>797089.8084325</v>
      </c>
      <c r="K19" s="5" t="s">
        <v>77</v>
      </c>
    </row>
    <row r="20" customFormat="false" ht="15" hidden="false" customHeight="false" outlineLevel="0" collapsed="false">
      <c r="A20" s="5" t="n">
        <v>15</v>
      </c>
      <c r="B20" s="5" t="s">
        <v>78</v>
      </c>
      <c r="C20" s="5" t="s">
        <v>79</v>
      </c>
      <c r="D20" s="5" t="s">
        <v>73</v>
      </c>
      <c r="E20" s="5" t="s">
        <v>17</v>
      </c>
      <c r="F20" s="5" t="s">
        <v>18</v>
      </c>
      <c r="G20" s="5" t="s">
        <v>46</v>
      </c>
      <c r="H20" s="6" t="n">
        <f aca="false">'15_MPT_000282.2023'!J52</f>
        <v>62764.16907915</v>
      </c>
      <c r="I20" s="6" t="n">
        <f aca="false">'15_MPT_000282.2023'!K52</f>
        <v>207030.951851152</v>
      </c>
      <c r="J20" s="6" t="n">
        <f aca="false">'15_MPT_000282.2023'!L52</f>
        <v>598900.303375</v>
      </c>
      <c r="K20" s="5" t="s">
        <v>80</v>
      </c>
    </row>
    <row r="21" customFormat="false" ht="15" hidden="false" customHeight="false" outlineLevel="0" collapsed="false">
      <c r="A21" s="5" t="n">
        <v>16</v>
      </c>
      <c r="B21" s="5" t="s">
        <v>81</v>
      </c>
      <c r="C21" s="5" t="s">
        <v>82</v>
      </c>
      <c r="D21" s="5" t="s">
        <v>73</v>
      </c>
      <c r="E21" s="5" t="s">
        <v>17</v>
      </c>
      <c r="F21" s="5" t="s">
        <v>23</v>
      </c>
      <c r="G21" s="5" t="s">
        <v>24</v>
      </c>
      <c r="H21" s="6" t="n">
        <f aca="false">'16_MPT_000393.2023'!J34</f>
        <v>41628.819078</v>
      </c>
      <c r="I21" s="6" t="n">
        <f aca="false">'16_MPT_000393.2023'!K34</f>
        <v>88512.429456</v>
      </c>
      <c r="J21" s="6" t="n">
        <f aca="false">'16_MPT_000393.2023'!L34</f>
        <v>208379.655</v>
      </c>
      <c r="K21" s="5" t="s">
        <v>83</v>
      </c>
    </row>
    <row r="22" customFormat="false" ht="15" hidden="false" customHeight="false" outlineLevel="0" collapsed="false">
      <c r="A22" s="5" t="n">
        <v>17</v>
      </c>
      <c r="B22" s="5" t="s">
        <v>84</v>
      </c>
      <c r="C22" s="5" t="s">
        <v>85</v>
      </c>
      <c r="D22" s="5" t="s">
        <v>86</v>
      </c>
      <c r="E22" s="5" t="s">
        <v>17</v>
      </c>
      <c r="F22" s="5" t="s">
        <v>41</v>
      </c>
      <c r="G22" s="5" t="s">
        <v>87</v>
      </c>
      <c r="H22" s="6" t="n">
        <f aca="false">'17_TJBA_0006323-71.2012'!J61</f>
        <v>280956.101843802</v>
      </c>
      <c r="I22" s="6" t="n">
        <f aca="false">'17_TJBA_0006323-71.2012'!K61</f>
        <v>579542.1533968</v>
      </c>
      <c r="J22" s="6" t="n">
        <f aca="false">'17_TJBA_0006323-71.2012'!L61</f>
        <v>1434218.259375</v>
      </c>
      <c r="K22" s="5" t="s">
        <v>88</v>
      </c>
    </row>
    <row r="23" customFormat="false" ht="15" hidden="false" customHeight="false" outlineLevel="0" collapsed="false">
      <c r="A23" s="5" t="n">
        <v>18</v>
      </c>
      <c r="B23" s="5" t="s">
        <v>89</v>
      </c>
      <c r="C23" s="5" t="s">
        <v>90</v>
      </c>
      <c r="D23" s="5" t="s">
        <v>86</v>
      </c>
      <c r="E23" s="5" t="s">
        <v>17</v>
      </c>
      <c r="F23" s="5" t="s">
        <v>28</v>
      </c>
      <c r="G23" s="5" t="s">
        <v>91</v>
      </c>
      <c r="H23" s="6" t="n">
        <f aca="false">'18_TJBA_8003152-18.2022'!J39</f>
        <v>315078.62789676</v>
      </c>
      <c r="I23" s="6" t="n">
        <f aca="false">'18_TJBA_8003152-18.2022'!K39</f>
        <v>549169.413587971</v>
      </c>
      <c r="J23" s="6" t="n">
        <f aca="false">'18_TJBA_8003152-18.2022'!L39</f>
        <v>1380290.18559816</v>
      </c>
      <c r="K23" s="5" t="s">
        <v>92</v>
      </c>
    </row>
    <row r="24" customFormat="false" ht="15" hidden="false" customHeight="false" outlineLevel="0" collapsed="false">
      <c r="A24" s="5" t="n">
        <v>19</v>
      </c>
      <c r="B24" s="5" t="s">
        <v>93</v>
      </c>
      <c r="C24" s="5" t="s">
        <v>94</v>
      </c>
      <c r="D24" s="5" t="s">
        <v>86</v>
      </c>
      <c r="E24" s="5" t="s">
        <v>17</v>
      </c>
      <c r="F24" s="5" t="s">
        <v>95</v>
      </c>
      <c r="G24" s="5" t="s">
        <v>54</v>
      </c>
      <c r="H24" s="6" t="n">
        <f aca="false">'19_TJBA_8005263-04.2024'!J52</f>
        <v>307680.84760686</v>
      </c>
      <c r="I24" s="6" t="n">
        <f aca="false">'19_TJBA_8005263-04.2024'!K52</f>
        <v>659546.560882605</v>
      </c>
      <c r="J24" s="6" t="n">
        <f aca="false">'19_TJBA_8005263-04.2024'!L52</f>
        <v>1748983.4844538</v>
      </c>
      <c r="K24" s="5" t="s">
        <v>96</v>
      </c>
    </row>
    <row r="25" customFormat="false" ht="15" hidden="false" customHeight="false" outlineLevel="0" collapsed="false">
      <c r="A25" s="5" t="n">
        <v>20</v>
      </c>
      <c r="B25" s="5" t="s">
        <v>97</v>
      </c>
      <c r="C25" s="5" t="s">
        <v>98</v>
      </c>
      <c r="D25" s="5" t="s">
        <v>86</v>
      </c>
      <c r="E25" s="5" t="s">
        <v>17</v>
      </c>
      <c r="F25" s="5" t="s">
        <v>18</v>
      </c>
      <c r="G25" s="5" t="s">
        <v>99</v>
      </c>
      <c r="H25" s="6" t="n">
        <f aca="false">'20_TJBA_8005837-61.2023'!J28</f>
        <v>25781.30861922</v>
      </c>
      <c r="I25" s="6" t="n">
        <f aca="false">'20_TJBA_8005837-61.2023'!K28</f>
        <v>41112.73711908</v>
      </c>
      <c r="J25" s="6" t="n">
        <f aca="false">'20_TJBA_8005837-61.2023'!L28</f>
        <v>64526.214225</v>
      </c>
      <c r="K25" s="5" t="s">
        <v>100</v>
      </c>
    </row>
    <row r="26" customFormat="false" ht="15" hidden="false" customHeight="false" outlineLevel="0" collapsed="false">
      <c r="A26" s="5" t="n">
        <v>21</v>
      </c>
      <c r="B26" s="5" t="s">
        <v>101</v>
      </c>
      <c r="C26" s="5" t="s">
        <v>102</v>
      </c>
      <c r="D26" s="5" t="s">
        <v>103</v>
      </c>
      <c r="E26" s="5" t="s">
        <v>17</v>
      </c>
      <c r="F26" s="5" t="s">
        <v>23</v>
      </c>
      <c r="G26" s="5" t="s">
        <v>104</v>
      </c>
      <c r="H26" s="6" t="n">
        <f aca="false">21_TCM_03973e23!J55</f>
        <v>385923.81394875</v>
      </c>
      <c r="I26" s="6" t="n">
        <f aca="false">21_TCM_03973e23!K55</f>
        <v>781244.31654368</v>
      </c>
      <c r="J26" s="6" t="n">
        <f aca="false">21_TCM_03973e23!L55</f>
        <v>1448377.7933625</v>
      </c>
      <c r="K26" s="5" t="s">
        <v>105</v>
      </c>
    </row>
    <row r="27" customFormat="false" ht="15" hidden="false" customHeight="false" outlineLevel="0" collapsed="false">
      <c r="A27" s="5" t="n">
        <v>22</v>
      </c>
      <c r="B27" s="5" t="s">
        <v>106</v>
      </c>
      <c r="C27" s="5" t="s">
        <v>107</v>
      </c>
      <c r="D27" s="5" t="s">
        <v>18</v>
      </c>
      <c r="E27" s="5" t="s">
        <v>17</v>
      </c>
      <c r="F27" s="5" t="s">
        <v>41</v>
      </c>
      <c r="G27" s="5" t="s">
        <v>108</v>
      </c>
      <c r="H27" s="6" t="n">
        <f aca="false">22_SN_CAMPO_DO_RODAO!J63</f>
        <v>278660.2853727</v>
      </c>
      <c r="I27" s="6" t="n">
        <f aca="false">22_SN_CAMPO_DO_RODAO!K63</f>
        <v>426327.915253416</v>
      </c>
      <c r="J27" s="6" t="n">
        <f aca="false">22_SN_CAMPO_DO_RODAO!L63</f>
        <v>651156.78925</v>
      </c>
      <c r="K27" s="5" t="s">
        <v>109</v>
      </c>
    </row>
    <row r="28" customFormat="false" ht="15" hidden="false" customHeight="false" outlineLevel="0" collapsed="false">
      <c r="A28" s="5" t="n">
        <v>23</v>
      </c>
      <c r="B28" s="5" t="s">
        <v>110</v>
      </c>
      <c r="C28" s="5" t="s">
        <v>111</v>
      </c>
      <c r="D28" s="5" t="s">
        <v>86</v>
      </c>
      <c r="E28" s="5" t="s">
        <v>86</v>
      </c>
      <c r="F28" s="5" t="s">
        <v>95</v>
      </c>
      <c r="G28" s="5" t="s">
        <v>112</v>
      </c>
      <c r="H28" s="6" t="n">
        <f aca="false">'23_TJBA_0001568-38.2011'!J64</f>
        <v>1348883.22675834</v>
      </c>
      <c r="I28" s="6" t="n">
        <f aca="false">'23_TJBA_0001568-38.2011'!K64</f>
        <v>2846250.30306634</v>
      </c>
      <c r="J28" s="6" t="n">
        <f aca="false">'23_TJBA_0001568-38.2011'!L64</f>
        <v>7453266.74352753</v>
      </c>
      <c r="K28" s="5" t="s">
        <v>113</v>
      </c>
    </row>
    <row r="29" customFormat="false" ht="15" hidden="false" customHeight="false" outlineLevel="0" collapsed="false">
      <c r="A29" s="5" t="n">
        <v>24</v>
      </c>
      <c r="B29" s="5" t="s">
        <v>114</v>
      </c>
      <c r="C29" s="5" t="s">
        <v>115</v>
      </c>
      <c r="D29" s="5" t="s">
        <v>86</v>
      </c>
      <c r="E29" s="5" t="s">
        <v>86</v>
      </c>
      <c r="F29" s="5" t="s">
        <v>59</v>
      </c>
      <c r="G29" s="5" t="s">
        <v>116</v>
      </c>
      <c r="H29" s="6" t="n">
        <f aca="false">'24_TJBA_8007670-17.2023'!J33</f>
        <v>584464.7078424</v>
      </c>
      <c r="I29" s="6" t="n">
        <f aca="false">'24_TJBA_8007670-17.2023'!K33</f>
        <v>1676406.2248391</v>
      </c>
      <c r="J29" s="6" t="n">
        <f aca="false">'24_TJBA_8007670-17.2023'!L33</f>
        <v>4943798.2385</v>
      </c>
      <c r="K29" s="5" t="s">
        <v>117</v>
      </c>
    </row>
    <row r="30" customFormat="false" ht="15" hidden="false" customHeight="false" outlineLevel="0" collapsed="false">
      <c r="A30" s="5" t="n">
        <v>25</v>
      </c>
      <c r="B30" s="5" t="s">
        <v>118</v>
      </c>
      <c r="C30" s="5" t="s">
        <v>119</v>
      </c>
      <c r="D30" s="5" t="s">
        <v>86</v>
      </c>
      <c r="E30" s="5" t="s">
        <v>86</v>
      </c>
      <c r="F30" s="5" t="s">
        <v>18</v>
      </c>
      <c r="G30" s="5" t="s">
        <v>46</v>
      </c>
      <c r="H30" s="6" t="n">
        <f aca="false">'25_TJBA_8008589-69.2024'!J55</f>
        <v>44832.488860698</v>
      </c>
      <c r="I30" s="6" t="n">
        <f aca="false">'25_TJBA_8008589-69.2024'!K55</f>
        <v>140931.3818968</v>
      </c>
      <c r="J30" s="6" t="n">
        <f aca="false">'25_TJBA_8008589-69.2024'!L55</f>
        <v>454217.256625</v>
      </c>
      <c r="K30" s="5" t="s">
        <v>120</v>
      </c>
    </row>
    <row r="31" customFormat="false" ht="15" hidden="false" customHeight="false" outlineLevel="0" collapsed="false">
      <c r="G31" s="7" t="s">
        <v>121</v>
      </c>
      <c r="H31" s="8" t="n">
        <f aca="false">SUM(H6:H30)</f>
        <v>17889012.2543335</v>
      </c>
      <c r="I31" s="8" t="n">
        <f aca="false">SUM(I6:I30)</f>
        <v>27738467.189003</v>
      </c>
      <c r="J31" s="8" t="n">
        <f aca="false">SUM(J6:J30)</f>
        <v>53729775.8237985</v>
      </c>
    </row>
    <row r="33" customFormat="false" ht="15" hidden="false" customHeight="false" outlineLevel="0" collapsed="false">
      <c r="A33" s="7" t="s">
        <v>122</v>
      </c>
    </row>
    <row r="34" customFormat="false" ht="15" hidden="false" customHeight="false" outlineLevel="0" collapsed="false">
      <c r="A34" s="9" t="s">
        <v>123</v>
      </c>
      <c r="G34" s="9" t="s">
        <v>124</v>
      </c>
      <c r="H34" s="9" t="s">
        <v>10</v>
      </c>
      <c r="I34" s="9" t="s">
        <v>11</v>
      </c>
      <c r="J34" s="9" t="s">
        <v>12</v>
      </c>
    </row>
    <row r="35" customFormat="false" ht="15" hidden="false" customHeight="false" outlineLevel="0" collapsed="false">
      <c r="A35" s="10" t="s">
        <v>17</v>
      </c>
      <c r="G35" s="10" t="n">
        <f aca="false">COUNTIF($E$6:$E$30,A35)</f>
        <v>22</v>
      </c>
      <c r="H35" s="11" t="n">
        <f aca="false">SUMIF($E$6:$E$30,$A35,H$6:H$30)</f>
        <v>15910831.830872</v>
      </c>
      <c r="I35" s="11" t="n">
        <f aca="false">SUMIF($E$6:$E$30,$A35,I$6:I$30)</f>
        <v>23074879.2792008</v>
      </c>
      <c r="J35" s="11" t="n">
        <f aca="false">SUMIF($E$6:$E$30,$A35,J$6:J$30)</f>
        <v>40878493.585146</v>
      </c>
    </row>
    <row r="36" customFormat="false" ht="15" hidden="false" customHeight="false" outlineLevel="0" collapsed="false">
      <c r="A36" s="10" t="s">
        <v>86</v>
      </c>
      <c r="G36" s="10" t="n">
        <f aca="false">COUNTIF($E$6:$E$30,A36)</f>
        <v>3</v>
      </c>
      <c r="H36" s="11" t="n">
        <f aca="false">SUMIF($E$6:$E$30,$A36,H$6:H$30)</f>
        <v>1978180.42346144</v>
      </c>
      <c r="I36" s="11" t="n">
        <f aca="false">SUMIF($E$6:$E$30,$A36,I$6:I$30)</f>
        <v>4663587.90980224</v>
      </c>
      <c r="J36" s="11" t="n">
        <f aca="false">SUMIF($E$6:$E$30,$A36,J$6:J$30)</f>
        <v>12851282.2386525</v>
      </c>
    </row>
    <row r="37" customFormat="false" ht="15" hidden="false" customHeight="false" outlineLevel="0" collapsed="false">
      <c r="A37" s="12" t="s">
        <v>125</v>
      </c>
      <c r="H37" s="13" t="n">
        <f aca="false">SUM(H35:H36)</f>
        <v>17889012.2543335</v>
      </c>
      <c r="I37" s="13" t="n">
        <f aca="false">SUM(I35:I36)</f>
        <v>27738467.189003</v>
      </c>
      <c r="J37" s="13" t="n">
        <f aca="false">SUM(J35:J36)</f>
        <v>53729775.8237985</v>
      </c>
    </row>
    <row r="39" customFormat="false" ht="15" hidden="false" customHeight="false" outlineLevel="0" collapsed="false">
      <c r="A39" s="7" t="s">
        <v>126</v>
      </c>
    </row>
    <row r="40" customFormat="false" ht="15" hidden="false" customHeight="false" outlineLevel="0" collapsed="false">
      <c r="B40" s="10" t="s">
        <v>84</v>
      </c>
      <c r="C40" s="10" t="s">
        <v>127</v>
      </c>
      <c r="G40" s="3" t="s">
        <v>128</v>
      </c>
      <c r="H40" s="14" t="n">
        <f aca="false">'17_TJBA_0006323-71.2012'!J61</f>
        <v>280956.101843802</v>
      </c>
      <c r="I40" s="14" t="n">
        <f aca="false">'17_TJBA_0006323-71.2012'!K61</f>
        <v>579542.1533968</v>
      </c>
      <c r="J40" s="14" t="n">
        <f aca="false">'17_TJBA_0006323-71.2012'!L61</f>
        <v>1434218.259375</v>
      </c>
      <c r="K40" s="3" t="s">
        <v>88</v>
      </c>
    </row>
    <row r="41" customFormat="false" ht="15" hidden="false" customHeight="false" outlineLevel="0" collapsed="false">
      <c r="B41" s="10" t="s">
        <v>97</v>
      </c>
      <c r="C41" s="10" t="s">
        <v>129</v>
      </c>
      <c r="G41" s="3" t="s">
        <v>130</v>
      </c>
      <c r="H41" s="14" t="n">
        <f aca="false">'20_TJBA_8005837-61.2023'!J28</f>
        <v>25781.30861922</v>
      </c>
      <c r="I41" s="14" t="n">
        <f aca="false">'20_TJBA_8005837-61.2023'!K28</f>
        <v>41112.73711908</v>
      </c>
      <c r="J41" s="14" t="n">
        <f aca="false">'20_TJBA_8005837-61.2023'!L28</f>
        <v>64526.214225</v>
      </c>
      <c r="K41" s="3" t="s">
        <v>100</v>
      </c>
    </row>
    <row r="42" customFormat="false" ht="15" hidden="false" customHeight="false" outlineLevel="0" collapsed="false">
      <c r="B42" s="10" t="s">
        <v>131</v>
      </c>
      <c r="C42" s="10" t="s">
        <v>102</v>
      </c>
      <c r="G42" s="3" t="s">
        <v>132</v>
      </c>
      <c r="H42" s="14" t="n">
        <f aca="false">21_TCM_03973e23!J55</f>
        <v>385923.81394875</v>
      </c>
      <c r="I42" s="14" t="n">
        <f aca="false">21_TCM_03973e23!K55</f>
        <v>781244.31654368</v>
      </c>
      <c r="J42" s="14" t="n">
        <f aca="false">21_TCM_03973e23!L55</f>
        <v>1448377.7933625</v>
      </c>
      <c r="K42" s="3" t="s">
        <v>105</v>
      </c>
    </row>
    <row r="44" customFormat="false" ht="15" hidden="false" customHeight="false" outlineLevel="0" collapsed="false">
      <c r="A44" s="7" t="s">
        <v>133</v>
      </c>
    </row>
    <row r="45" customFormat="false" ht="15" hidden="false" customHeight="false" outlineLevel="0" collapsed="false">
      <c r="A45" s="9" t="s">
        <v>123</v>
      </c>
      <c r="G45" s="9" t="s">
        <v>124</v>
      </c>
      <c r="H45" s="9" t="s">
        <v>10</v>
      </c>
      <c r="I45" s="9" t="s">
        <v>11</v>
      </c>
      <c r="J45" s="9" t="s">
        <v>12</v>
      </c>
    </row>
    <row r="46" customFormat="false" ht="15" hidden="false" customHeight="false" outlineLevel="0" collapsed="false">
      <c r="A46" s="10" t="s">
        <v>16</v>
      </c>
      <c r="G46" s="10" t="n">
        <f aca="false">COUNTIF($D$6:$D$30,A46)</f>
        <v>9</v>
      </c>
      <c r="H46" s="11" t="n">
        <f aca="false">SUMIF($D$6:$D$30,$A46,H$6:H$30)</f>
        <v>4026213.48582298</v>
      </c>
      <c r="I46" s="11" t="n">
        <f aca="false">SUMIF($D$6:$D$30,$A46,I$6:I$30)</f>
        <v>6402696.7379474</v>
      </c>
      <c r="J46" s="11" t="n">
        <f aca="false">SUMIF($D$6:$D$30,$A46,J$6:J$30)</f>
        <v>12797819.5798316</v>
      </c>
    </row>
    <row r="47" customFormat="false" ht="15" hidden="false" customHeight="false" outlineLevel="0" collapsed="false">
      <c r="A47" s="10" t="s">
        <v>58</v>
      </c>
      <c r="G47" s="10" t="n">
        <f aca="false">COUNTIF($D$6:$D$30,A47)</f>
        <v>3</v>
      </c>
      <c r="H47" s="11" t="n">
        <f aca="false">SUMIF($D$6:$D$30,$A47,H$6:H$30)</f>
        <v>10080131.0805953</v>
      </c>
      <c r="I47" s="11" t="n">
        <f aca="false">SUMIF($D$6:$D$30,$A47,I$6:I$30)</f>
        <v>12970810.786962</v>
      </c>
      <c r="J47" s="11" t="n">
        <f aca="false">SUMIF($D$6:$D$30,$A47,J$6:J$30)</f>
        <v>19348040.713925</v>
      </c>
    </row>
    <row r="48" customFormat="false" ht="15" hidden="false" customHeight="false" outlineLevel="0" collapsed="false">
      <c r="A48" s="10" t="s">
        <v>73</v>
      </c>
      <c r="G48" s="10" t="n">
        <f aca="false">COUNTIF($D$6:$D$30,A48)</f>
        <v>4</v>
      </c>
      <c r="H48" s="11" t="n">
        <f aca="false">SUMIF($D$6:$D$30,$A48,H$6:H$30)</f>
        <v>210406.279165698</v>
      </c>
      <c r="I48" s="11" t="n">
        <f aca="false">SUMIF($D$6:$D$30,$A48,I$6:I$30)</f>
        <v>664428.657507824</v>
      </c>
      <c r="J48" s="11" t="n">
        <f aca="false">SUMIF($D$6:$D$30,$A48,J$6:J$30)</f>
        <v>2005080.565125</v>
      </c>
    </row>
    <row r="49" customFormat="false" ht="15" hidden="false" customHeight="false" outlineLevel="0" collapsed="false">
      <c r="A49" s="10" t="s">
        <v>86</v>
      </c>
      <c r="G49" s="10" t="n">
        <f aca="false">COUNTIF($D$6:$D$30,A49)</f>
        <v>7</v>
      </c>
      <c r="H49" s="11" t="n">
        <f aca="false">SUMIF($D$6:$D$30,$A49,H$6:H$30)</f>
        <v>2907677.30942808</v>
      </c>
      <c r="I49" s="11" t="n">
        <f aca="false">SUMIF($D$6:$D$30,$A49,I$6:I$30)</f>
        <v>6492958.7747887</v>
      </c>
      <c r="J49" s="11" t="n">
        <f aca="false">SUMIF($D$6:$D$30,$A49,J$6:J$30)</f>
        <v>17479300.3823045</v>
      </c>
    </row>
    <row r="50" customFormat="false" ht="15" hidden="false" customHeight="false" outlineLevel="0" collapsed="false">
      <c r="A50" s="10" t="s">
        <v>103</v>
      </c>
      <c r="G50" s="10" t="n">
        <f aca="false">COUNTIF($D$6:$D$30,A50)</f>
        <v>1</v>
      </c>
      <c r="H50" s="11" t="n">
        <f aca="false">SUMIF($D$6:$D$30,$A50,H$6:H$30)</f>
        <v>385923.81394875</v>
      </c>
      <c r="I50" s="11" t="n">
        <f aca="false">SUMIF($D$6:$D$30,$A50,I$6:I$30)</f>
        <v>781244.31654368</v>
      </c>
      <c r="J50" s="11" t="n">
        <f aca="false">SUMIF($D$6:$D$30,$A50,J$6:J$30)</f>
        <v>1448377.7933625</v>
      </c>
    </row>
    <row r="51" customFormat="false" ht="15" hidden="false" customHeight="false" outlineLevel="0" collapsed="false">
      <c r="A51" s="10" t="s">
        <v>18</v>
      </c>
      <c r="G51" s="10" t="n">
        <f aca="false">COUNTIF($D$6:$D$30,A51)</f>
        <v>1</v>
      </c>
      <c r="H51" s="11" t="n">
        <f aca="false">SUMIF($D$6:$D$30,$A51,H$6:H$30)</f>
        <v>278660.2853727</v>
      </c>
      <c r="I51" s="11" t="n">
        <f aca="false">SUMIF($D$6:$D$30,$A51,I$6:I$30)</f>
        <v>426327.915253416</v>
      </c>
      <c r="J51" s="11" t="n">
        <f aca="false">SUMIF($D$6:$D$30,$A51,J$6:J$30)</f>
        <v>651156.78925</v>
      </c>
    </row>
    <row r="52" customFormat="false" ht="15" hidden="false" customHeight="false" outlineLevel="0" collapsed="false">
      <c r="A52" s="3" t="s">
        <v>134</v>
      </c>
      <c r="H52" s="15" t="n">
        <f aca="false">SUM(H46:H51)</f>
        <v>17889012.2543335</v>
      </c>
      <c r="I52" s="15" t="n">
        <f aca="false">SUM(I46:I51)</f>
        <v>27738467.189003</v>
      </c>
      <c r="J52" s="15" t="n">
        <f aca="false">SUM(J46:J51)</f>
        <v>53729775.8237985</v>
      </c>
    </row>
    <row r="54" customFormat="false" ht="15" hidden="false" customHeight="false" outlineLevel="0" collapsed="false">
      <c r="A54" s="7" t="s">
        <v>135</v>
      </c>
    </row>
    <row r="55" customFormat="false" ht="15" hidden="false" customHeight="false" outlineLevel="0" collapsed="false">
      <c r="A55" s="9" t="s">
        <v>123</v>
      </c>
      <c r="G55" s="9" t="s">
        <v>124</v>
      </c>
      <c r="H55" s="9" t="s">
        <v>10</v>
      </c>
      <c r="I55" s="9" t="s">
        <v>11</v>
      </c>
      <c r="J55" s="9" t="s">
        <v>12</v>
      </c>
    </row>
    <row r="56" customFormat="false" ht="15" hidden="false" customHeight="false" outlineLevel="0" collapsed="false">
      <c r="A56" s="10" t="s">
        <v>18</v>
      </c>
      <c r="G56" s="10" t="n">
        <f aca="false">COUNTIF($F$6:$F$30,A56)</f>
        <v>7</v>
      </c>
      <c r="H56" s="11" t="n">
        <f aca="false">SUMIF($F$6:$F$30,$A56,H$6:H$30)</f>
        <v>267903.883683282</v>
      </c>
      <c r="I56" s="11" t="n">
        <f aca="false">SUMIF($F$6:$F$30,$A56,I$6:I$30)</f>
        <v>799423.903220008</v>
      </c>
      <c r="J56" s="11" t="n">
        <f aca="false">SUMIF($F$6:$F$30,$A56,J$6:J$30)</f>
        <v>2886251.05692688</v>
      </c>
    </row>
    <row r="57" customFormat="false" ht="15" hidden="false" customHeight="false" outlineLevel="0" collapsed="false">
      <c r="A57" s="10" t="s">
        <v>23</v>
      </c>
      <c r="G57" s="10" t="n">
        <f aca="false">COUNTIF($F$6:$F$30,A57)</f>
        <v>5</v>
      </c>
      <c r="H57" s="11" t="n">
        <f aca="false">SUMIF($F$6:$F$30,$A57,H$6:H$30)</f>
        <v>2346606.91414288</v>
      </c>
      <c r="I57" s="11" t="n">
        <f aca="false">SUMIF($F$6:$F$30,$A57,I$6:I$30)</f>
        <v>4843195.32974253</v>
      </c>
      <c r="J57" s="11" t="n">
        <f aca="false">SUMIF($F$6:$F$30,$A57,J$6:J$30)</f>
        <v>9511568.592075</v>
      </c>
    </row>
    <row r="58" customFormat="false" ht="15" hidden="false" customHeight="false" outlineLevel="0" collapsed="false">
      <c r="A58" s="10" t="s">
        <v>28</v>
      </c>
      <c r="G58" s="10" t="n">
        <f aca="false">COUNTIF($F$6:$F$30,A58)</f>
        <v>5</v>
      </c>
      <c r="H58" s="11" t="n">
        <f aca="false">SUMIF($F$6:$F$30,$A58,H$6:H$30)</f>
        <v>3046043.84672952</v>
      </c>
      <c r="I58" s="11" t="n">
        <f aca="false">SUMIF($F$6:$F$30,$A58,I$6:I$30)</f>
        <v>4365994.19578301</v>
      </c>
      <c r="J58" s="11" t="n">
        <f aca="false">SUMIF($F$6:$F$30,$A58,J$6:J$30)</f>
        <v>8349494.04708533</v>
      </c>
    </row>
    <row r="59" customFormat="false" ht="15" hidden="false" customHeight="false" outlineLevel="0" collapsed="false">
      <c r="A59" s="10" t="s">
        <v>41</v>
      </c>
      <c r="G59" s="10" t="n">
        <f aca="false">COUNTIF($F$6:$F$30,A59)</f>
        <v>3</v>
      </c>
      <c r="H59" s="11" t="n">
        <f aca="false">SUMIF($F$6:$F$30,$A59,H$6:H$30)</f>
        <v>1197839.1626452</v>
      </c>
      <c r="I59" s="11" t="n">
        <f aca="false">SUMIF($F$6:$F$30,$A59,I$6:I$30)</f>
        <v>1861491.66036592</v>
      </c>
      <c r="J59" s="11" t="n">
        <f aca="false">SUMIF($F$6:$F$30,$A59,J$6:J$30)</f>
        <v>3252107.381875</v>
      </c>
    </row>
    <row r="60" customFormat="false" ht="15" hidden="false" customHeight="false" outlineLevel="0" collapsed="false">
      <c r="A60" s="10" t="s">
        <v>59</v>
      </c>
      <c r="G60" s="10" t="n">
        <f aca="false">COUNTIF($F$6:$F$30,A60)</f>
        <v>2</v>
      </c>
      <c r="H60" s="11" t="n">
        <f aca="false">SUMIF($F$6:$F$30,$A60,H$6:H$30)</f>
        <v>1912929.80508907</v>
      </c>
      <c r="I60" s="11" t="n">
        <f aca="false">SUMIF($F$6:$F$30,$A60,I$6:I$30)</f>
        <v>3968904.52195706</v>
      </c>
      <c r="J60" s="11" t="n">
        <f aca="false">SUMIF($F$6:$F$30,$A60,J$6:J$30)</f>
        <v>9775812.534455</v>
      </c>
    </row>
    <row r="61" customFormat="false" ht="15" hidden="false" customHeight="false" outlineLevel="0" collapsed="false">
      <c r="A61" s="10" t="s">
        <v>64</v>
      </c>
      <c r="G61" s="10" t="n">
        <f aca="false">COUNTIF($F$6:$F$30,A61)</f>
        <v>1</v>
      </c>
      <c r="H61" s="11" t="n">
        <f aca="false">SUMIF($F$6:$F$30,$A61,H$6:H$30)</f>
        <v>7461124.56767832</v>
      </c>
      <c r="I61" s="11" t="n">
        <f aca="false">SUMIF($F$6:$F$30,$A61,I$6:I$30)</f>
        <v>8393660.71398554</v>
      </c>
      <c r="J61" s="11" t="n">
        <f aca="false">SUMIF($F$6:$F$30,$A61,J$6:J$30)</f>
        <v>10752291.9834</v>
      </c>
    </row>
    <row r="62" customFormat="false" ht="15" hidden="false" customHeight="false" outlineLevel="0" collapsed="false">
      <c r="A62" s="10" t="s">
        <v>95</v>
      </c>
      <c r="G62" s="10" t="n">
        <f aca="false">COUNTIF($F$6:$F$30,A62)</f>
        <v>2</v>
      </c>
      <c r="H62" s="11" t="n">
        <f aca="false">SUMIF($F$6:$F$30,$A62,H$6:H$30)</f>
        <v>1656564.0743652</v>
      </c>
      <c r="I62" s="11" t="n">
        <f aca="false">SUMIF($F$6:$F$30,$A62,I$6:I$30)</f>
        <v>3505796.86394894</v>
      </c>
      <c r="J62" s="11" t="n">
        <f aca="false">SUMIF($F$6:$F$30,$A62,J$6:J$30)</f>
        <v>9202250.22798133</v>
      </c>
    </row>
    <row r="63" customFormat="false" ht="15" hidden="false" customHeight="false" outlineLevel="0" collapsed="false">
      <c r="A63" s="3" t="s">
        <v>134</v>
      </c>
      <c r="H63" s="15" t="n">
        <f aca="false">SUM(H56:H62)</f>
        <v>17889012.2543335</v>
      </c>
      <c r="I63" s="15" t="n">
        <f aca="false">SUM(I56:I62)</f>
        <v>27738467.189003</v>
      </c>
      <c r="J63" s="15" t="n">
        <f aca="false">SUM(J56:J62)</f>
        <v>53729775.8237985</v>
      </c>
    </row>
    <row r="65" customFormat="false" ht="15" hidden="false" customHeight="false" outlineLevel="0" collapsed="false">
      <c r="A65" s="3" t="s">
        <v>136</v>
      </c>
    </row>
    <row r="66" customFormat="false" ht="15" hidden="false" customHeight="false" outlineLevel="0" collapsed="false">
      <c r="A66" s="3" t="s">
        <v>137</v>
      </c>
    </row>
    <row r="67" customFormat="false" ht="15" hidden="false" customHeight="false" outlineLevel="0" collapsed="false">
      <c r="A67" s="3" t="s">
        <v>138</v>
      </c>
    </row>
    <row r="68" customFormat="false" ht="15" hidden="false" customHeight="false" outlineLevel="0" collapsed="false">
      <c r="A68" s="3" t="s">
        <v>139</v>
      </c>
    </row>
    <row r="69" customFormat="false" ht="15" hidden="false" customHeight="false" outlineLevel="0" collapsed="false">
      <c r="A69" s="3" t="s">
        <v>140</v>
      </c>
    </row>
    <row r="70" customFormat="false" ht="15" hidden="false" customHeight="false" outlineLevel="0" collapsed="false">
      <c r="A70" s="3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2"/>
    <col collapsed="false" customWidth="true" hidden="false" outlineLevel="0" max="5" min="5" style="0" width="95"/>
  </cols>
  <sheetData>
    <row r="1" customFormat="false" ht="1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143</v>
      </c>
    </row>
    <row r="5" customFormat="false" ht="15" hidden="false" customHeight="false" outlineLevel="0" collapsed="false">
      <c r="A5" s="16" t="s">
        <v>144</v>
      </c>
      <c r="B5" s="16" t="s">
        <v>145</v>
      </c>
      <c r="C5" s="16" t="s">
        <v>146</v>
      </c>
      <c r="D5" s="16" t="s">
        <v>147</v>
      </c>
      <c r="E5" s="16" t="s">
        <v>148</v>
      </c>
    </row>
    <row r="6" customFormat="false" ht="23.85" hidden="false" customHeight="false" outlineLevel="0" collapsed="false">
      <c r="A6" s="5" t="s">
        <v>149</v>
      </c>
      <c r="B6" s="17" t="n">
        <v>0.2034</v>
      </c>
      <c r="C6" s="17" t="n">
        <v>0.2212</v>
      </c>
      <c r="D6" s="17" t="n">
        <v>0.25</v>
      </c>
      <c r="E6" s="18" t="s">
        <v>150</v>
      </c>
    </row>
    <row r="7" customFormat="false" ht="15" hidden="false" customHeight="false" outlineLevel="0" collapsed="false">
      <c r="A7" s="5" t="s">
        <v>151</v>
      </c>
      <c r="B7" s="17" t="n">
        <v>0.196</v>
      </c>
      <c r="C7" s="17" t="n">
        <v>0.2097</v>
      </c>
      <c r="D7" s="17" t="n">
        <v>0.2423</v>
      </c>
      <c r="E7" s="18" t="s">
        <v>152</v>
      </c>
    </row>
    <row r="8" customFormat="false" ht="23.85" hidden="false" customHeight="false" outlineLevel="0" collapsed="false">
      <c r="A8" s="5" t="s">
        <v>153</v>
      </c>
      <c r="B8" s="17" t="n">
        <v>0.05</v>
      </c>
      <c r="C8" s="17" t="n">
        <v>0.1</v>
      </c>
      <c r="D8" s="17" t="n">
        <v>0.15</v>
      </c>
      <c r="E8" s="18" t="s">
        <v>154</v>
      </c>
    </row>
    <row r="9" customFormat="false" ht="23.85" hidden="false" customHeight="false" outlineLevel="0" collapsed="false">
      <c r="A9" s="5" t="s">
        <v>155</v>
      </c>
      <c r="B9" s="19" t="n">
        <v>1</v>
      </c>
      <c r="C9" s="19" t="n">
        <v>1</v>
      </c>
      <c r="D9" s="19" t="n">
        <v>1.1</v>
      </c>
      <c r="E9" s="18" t="s">
        <v>156</v>
      </c>
    </row>
    <row r="11" customFormat="false" ht="15" hidden="false" customHeight="false" outlineLevel="0" collapsed="false">
      <c r="A11" s="3" t="s">
        <v>157</v>
      </c>
    </row>
    <row r="12" customFormat="false" ht="15" hidden="false" customHeight="false" outlineLevel="0" collapsed="false">
      <c r="A12" s="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7" topLeftCell="E18" activePane="bottomRight" state="frozen"/>
      <selection pane="topLeft" activeCell="A1" activeCellId="0" sqref="A1"/>
      <selection pane="topRight" activeCell="E1" activeCellId="0" sqref="E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14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18</v>
      </c>
    </row>
    <row r="8" customFormat="false" ht="15" hidden="false" customHeight="false" outlineLevel="0" collapsed="false">
      <c r="A8" s="7" t="s">
        <v>160</v>
      </c>
      <c r="B8" s="10" t="s">
        <v>161</v>
      </c>
    </row>
    <row r="9" customFormat="false" ht="15" hidden="false" customHeight="false" outlineLevel="0" collapsed="false">
      <c r="A9" s="7" t="s">
        <v>9</v>
      </c>
      <c r="B9" s="10" t="s">
        <v>19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167</v>
      </c>
    </row>
    <row r="13" customFormat="false" ht="15" hidden="false" customHeight="false" outlineLevel="0" collapsed="false">
      <c r="B13" s="20" t="s">
        <v>168</v>
      </c>
    </row>
    <row r="14" customFormat="false" ht="15" hidden="false" customHeight="false" outlineLevel="0" collapsed="false">
      <c r="B14" s="20" t="s">
        <v>169</v>
      </c>
    </row>
    <row r="15" customFormat="false" ht="15" hidden="false" customHeight="false" outlineLevel="0" collapsed="false">
      <c r="B15" s="20" t="s">
        <v>170</v>
      </c>
    </row>
    <row r="17" customFormat="false" ht="23.85" hidden="false" customHeight="false" outlineLevel="0" collapsed="false">
      <c r="A17" s="4" t="s">
        <v>171</v>
      </c>
      <c r="B17" s="4" t="s">
        <v>172</v>
      </c>
      <c r="C17" s="4" t="s">
        <v>173</v>
      </c>
      <c r="D17" s="4" t="s">
        <v>174</v>
      </c>
      <c r="E17" s="4" t="s">
        <v>175</v>
      </c>
      <c r="F17" s="4" t="s">
        <v>176</v>
      </c>
      <c r="G17" s="4" t="s">
        <v>177</v>
      </c>
      <c r="H17" s="4" t="s">
        <v>178</v>
      </c>
      <c r="I17" s="4" t="s">
        <v>179</v>
      </c>
      <c r="J17" s="4" t="s">
        <v>180</v>
      </c>
      <c r="K17" s="4" t="s">
        <v>181</v>
      </c>
      <c r="L17" s="4" t="s">
        <v>182</v>
      </c>
      <c r="M17" s="4" t="s">
        <v>183</v>
      </c>
    </row>
    <row r="18" customFormat="false" ht="15" hidden="false" customHeight="false" outlineLevel="0" collapsed="false">
      <c r="A18" s="5" t="s">
        <v>184</v>
      </c>
      <c r="B18" s="5" t="s">
        <v>185</v>
      </c>
      <c r="C18" s="5" t="s">
        <v>186</v>
      </c>
      <c r="D18" s="5" t="s">
        <v>187</v>
      </c>
      <c r="E18" s="5" t="s">
        <v>188</v>
      </c>
      <c r="F18" s="21" t="n">
        <v>105.08</v>
      </c>
      <c r="G18" s="21" t="n">
        <v>50</v>
      </c>
      <c r="H18" s="21" t="n">
        <v>66</v>
      </c>
      <c r="I18" s="21" t="n">
        <v>90</v>
      </c>
      <c r="J18" s="22" t="n">
        <f aca="false">F18*G18</f>
        <v>5254</v>
      </c>
      <c r="K18" s="22" t="n">
        <f aca="false">F18*H18</f>
        <v>6935.28</v>
      </c>
      <c r="L18" s="22" t="n">
        <f aca="false">F18*I18</f>
        <v>9457.2</v>
      </c>
      <c r="M18" s="5" t="s">
        <v>189</v>
      </c>
    </row>
    <row r="19" customFormat="false" ht="15" hidden="false" customHeight="false" outlineLevel="0" collapsed="false">
      <c r="A19" s="5" t="s">
        <v>190</v>
      </c>
      <c r="B19" s="5" t="s">
        <v>191</v>
      </c>
      <c r="C19" s="5" t="s">
        <v>192</v>
      </c>
      <c r="D19" s="5" t="s">
        <v>193</v>
      </c>
      <c r="E19" s="5" t="s">
        <v>194</v>
      </c>
      <c r="F19" s="21" t="n">
        <v>5.57</v>
      </c>
      <c r="G19" s="21" t="n">
        <v>180</v>
      </c>
      <c r="H19" s="21" t="n">
        <v>240</v>
      </c>
      <c r="I19" s="21" t="n">
        <v>360</v>
      </c>
      <c r="J19" s="22" t="n">
        <f aca="false">F19*G19</f>
        <v>1002.6</v>
      </c>
      <c r="K19" s="22" t="n">
        <f aca="false">F19*H19</f>
        <v>1336.8</v>
      </c>
      <c r="L19" s="22" t="n">
        <f aca="false">F19*I19</f>
        <v>2005.2</v>
      </c>
      <c r="M19" s="5" t="s">
        <v>195</v>
      </c>
    </row>
    <row r="20" customFormat="false" ht="15" hidden="false" customHeight="false" outlineLevel="0" collapsed="false">
      <c r="A20" s="5" t="s">
        <v>190</v>
      </c>
      <c r="B20" s="5" t="s">
        <v>196</v>
      </c>
      <c r="C20" s="5" t="s">
        <v>186</v>
      </c>
      <c r="D20" s="5" t="s">
        <v>197</v>
      </c>
      <c r="E20" s="5" t="s">
        <v>198</v>
      </c>
      <c r="F20" s="21" t="n">
        <v>35.15</v>
      </c>
      <c r="G20" s="21" t="n">
        <v>60</v>
      </c>
      <c r="H20" s="21" t="n">
        <v>80</v>
      </c>
      <c r="I20" s="21" t="n">
        <v>120</v>
      </c>
      <c r="J20" s="22" t="n">
        <f aca="false">F20*G20</f>
        <v>2109</v>
      </c>
      <c r="K20" s="22" t="n">
        <f aca="false">F20*H20</f>
        <v>2812</v>
      </c>
      <c r="L20" s="22" t="n">
        <f aca="false">F20*I20</f>
        <v>4218</v>
      </c>
      <c r="M20" s="5" t="s">
        <v>199</v>
      </c>
    </row>
    <row r="21" customFormat="false" ht="15" hidden="false" customHeight="false" outlineLevel="0" collapsed="false">
      <c r="A21" s="5" t="s">
        <v>190</v>
      </c>
      <c r="B21" s="5" t="s">
        <v>200</v>
      </c>
      <c r="C21" s="5" t="s">
        <v>186</v>
      </c>
      <c r="D21" s="5" t="s">
        <v>201</v>
      </c>
      <c r="E21" s="5" t="s">
        <v>198</v>
      </c>
      <c r="F21" s="21" t="n">
        <v>26.14</v>
      </c>
      <c r="G21" s="21" t="n">
        <v>60</v>
      </c>
      <c r="H21" s="21" t="n">
        <v>80</v>
      </c>
      <c r="I21" s="21" t="n">
        <v>120</v>
      </c>
      <c r="J21" s="22" t="n">
        <f aca="false">F21*G21</f>
        <v>1568.4</v>
      </c>
      <c r="K21" s="22" t="n">
        <f aca="false">F21*H21</f>
        <v>2091.2</v>
      </c>
      <c r="L21" s="22" t="n">
        <f aca="false">F21*I21</f>
        <v>3136.8</v>
      </c>
      <c r="M21" s="5" t="s">
        <v>202</v>
      </c>
    </row>
    <row r="22" customFormat="false" ht="15" hidden="false" customHeight="false" outlineLevel="0" collapsed="false">
      <c r="A22" s="5" t="s">
        <v>203</v>
      </c>
      <c r="B22" s="5" t="s">
        <v>204</v>
      </c>
      <c r="C22" s="5" t="s">
        <v>186</v>
      </c>
      <c r="D22" s="5" t="s">
        <v>205</v>
      </c>
      <c r="E22" s="5" t="s">
        <v>188</v>
      </c>
      <c r="F22" s="21" t="n">
        <v>27.41</v>
      </c>
      <c r="G22" s="21" t="n">
        <v>150</v>
      </c>
      <c r="H22" s="21" t="n">
        <v>250</v>
      </c>
      <c r="I22" s="21" t="n">
        <v>400</v>
      </c>
      <c r="J22" s="22" t="n">
        <f aca="false">F22*G22</f>
        <v>4111.5</v>
      </c>
      <c r="K22" s="22" t="n">
        <f aca="false">F22*H22</f>
        <v>6852.5</v>
      </c>
      <c r="L22" s="22" t="n">
        <f aca="false">F22*I22</f>
        <v>10964</v>
      </c>
      <c r="M22" s="5" t="s">
        <v>206</v>
      </c>
    </row>
    <row r="23" customFormat="false" ht="15" hidden="false" customHeight="false" outlineLevel="0" collapsed="false">
      <c r="A23" s="5" t="s">
        <v>203</v>
      </c>
      <c r="B23" s="5" t="s">
        <v>207</v>
      </c>
      <c r="C23" s="5" t="s">
        <v>186</v>
      </c>
      <c r="D23" s="5" t="s">
        <v>208</v>
      </c>
      <c r="E23" s="5" t="s">
        <v>188</v>
      </c>
      <c r="F23" s="21" t="n">
        <v>7.11</v>
      </c>
      <c r="G23" s="21" t="n">
        <v>150</v>
      </c>
      <c r="H23" s="21" t="n">
        <v>250</v>
      </c>
      <c r="I23" s="21" t="n">
        <v>400</v>
      </c>
      <c r="J23" s="22" t="n">
        <f aca="false">F23*G23</f>
        <v>1066.5</v>
      </c>
      <c r="K23" s="22" t="n">
        <f aca="false">F23*H23</f>
        <v>1777.5</v>
      </c>
      <c r="L23" s="22" t="n">
        <f aca="false">F23*I23</f>
        <v>2844</v>
      </c>
      <c r="M23" s="5" t="s">
        <v>209</v>
      </c>
    </row>
    <row r="24" customFormat="false" ht="15" hidden="false" customHeight="false" outlineLevel="0" collapsed="false">
      <c r="A24" s="5" t="s">
        <v>210</v>
      </c>
      <c r="B24" s="5" t="s">
        <v>211</v>
      </c>
      <c r="C24" s="5" t="s">
        <v>192</v>
      </c>
      <c r="D24" s="5" t="s">
        <v>212</v>
      </c>
      <c r="E24" s="5" t="s">
        <v>188</v>
      </c>
      <c r="F24" s="21" t="n">
        <v>2.1</v>
      </c>
      <c r="G24" s="21" t="n">
        <v>275</v>
      </c>
      <c r="H24" s="21" t="n">
        <v>385</v>
      </c>
      <c r="I24" s="21" t="n">
        <v>550</v>
      </c>
      <c r="J24" s="22" t="n">
        <f aca="false">F24*G24</f>
        <v>577.5</v>
      </c>
      <c r="K24" s="22" t="n">
        <f aca="false">F24*H24</f>
        <v>808.5</v>
      </c>
      <c r="L24" s="22" t="n">
        <f aca="false">F24*I24</f>
        <v>1155</v>
      </c>
      <c r="M24" s="5" t="s">
        <v>213</v>
      </c>
    </row>
    <row r="25" customFormat="false" ht="15" hidden="false" customHeight="false" outlineLevel="0" collapsed="false">
      <c r="A25" s="5" t="s">
        <v>210</v>
      </c>
      <c r="B25" s="5" t="s">
        <v>200</v>
      </c>
      <c r="C25" s="5" t="s">
        <v>186</v>
      </c>
      <c r="D25" s="5" t="s">
        <v>201</v>
      </c>
      <c r="E25" s="5" t="s">
        <v>198</v>
      </c>
      <c r="F25" s="21" t="n">
        <v>26.14</v>
      </c>
      <c r="G25" s="21" t="n">
        <v>16.67</v>
      </c>
      <c r="H25" s="21" t="n">
        <v>23.33</v>
      </c>
      <c r="I25" s="21" t="n">
        <v>33.33</v>
      </c>
      <c r="J25" s="22" t="n">
        <f aca="false">F25*G25</f>
        <v>435.7538</v>
      </c>
      <c r="K25" s="22" t="n">
        <f aca="false">F25*H25</f>
        <v>609.8462</v>
      </c>
      <c r="L25" s="22" t="n">
        <f aca="false">F25*I25</f>
        <v>871.2462</v>
      </c>
      <c r="M25" s="5" t="s">
        <v>214</v>
      </c>
    </row>
    <row r="26" customFormat="false" ht="15" hidden="false" customHeight="false" outlineLevel="0" collapsed="false">
      <c r="A26" s="5" t="s">
        <v>215</v>
      </c>
      <c r="B26" s="5" t="s">
        <v>216</v>
      </c>
      <c r="C26" s="5" t="s">
        <v>186</v>
      </c>
      <c r="D26" s="5" t="s">
        <v>217</v>
      </c>
      <c r="E26" s="5" t="s">
        <v>188</v>
      </c>
      <c r="F26" s="21" t="n">
        <v>454.97</v>
      </c>
      <c r="G26" s="21" t="n">
        <v>0</v>
      </c>
      <c r="H26" s="21" t="n">
        <v>0</v>
      </c>
      <c r="I26" s="21" t="n">
        <v>6</v>
      </c>
      <c r="J26" s="22" t="n">
        <f aca="false">F26*G26</f>
        <v>0</v>
      </c>
      <c r="K26" s="22" t="n">
        <f aca="false">F26*H26</f>
        <v>0</v>
      </c>
      <c r="L26" s="22" t="n">
        <f aca="false">F26*I26</f>
        <v>2729.82</v>
      </c>
      <c r="M26" s="5" t="s">
        <v>218</v>
      </c>
    </row>
    <row r="27" customFormat="false" ht="15" hidden="false" customHeight="false" outlineLevel="0" collapsed="false">
      <c r="A27" s="5" t="s">
        <v>219</v>
      </c>
      <c r="B27" s="5" t="s">
        <v>220</v>
      </c>
      <c r="C27" s="5" t="s">
        <v>186</v>
      </c>
      <c r="D27" s="5" t="s">
        <v>221</v>
      </c>
      <c r="E27" s="5" t="s">
        <v>188</v>
      </c>
      <c r="F27" s="21" t="n">
        <v>4.43</v>
      </c>
      <c r="G27" s="21" t="n">
        <v>0</v>
      </c>
      <c r="H27" s="21" t="n">
        <v>0</v>
      </c>
      <c r="I27" s="21" t="n">
        <v>625</v>
      </c>
      <c r="J27" s="22" t="n">
        <f aca="false">F27*G27</f>
        <v>0</v>
      </c>
      <c r="K27" s="22" t="n">
        <f aca="false">F27*H27</f>
        <v>0</v>
      </c>
      <c r="L27" s="22" t="n">
        <f aca="false">F27*I27</f>
        <v>2768.75</v>
      </c>
      <c r="M27" s="5" t="s">
        <v>222</v>
      </c>
    </row>
    <row r="28" customFormat="false" ht="15" hidden="false" customHeight="false" outlineLevel="0" collapsed="false">
      <c r="A28" s="5" t="s">
        <v>219</v>
      </c>
      <c r="B28" s="5" t="s">
        <v>223</v>
      </c>
      <c r="C28" s="5" t="s">
        <v>186</v>
      </c>
      <c r="D28" s="5" t="s">
        <v>224</v>
      </c>
      <c r="E28" s="5" t="s">
        <v>188</v>
      </c>
      <c r="F28" s="21" t="n">
        <v>9.56</v>
      </c>
      <c r="G28" s="21" t="n">
        <v>0</v>
      </c>
      <c r="H28" s="21" t="n">
        <v>0</v>
      </c>
      <c r="I28" s="21" t="n">
        <v>312.5</v>
      </c>
      <c r="J28" s="22" t="n">
        <f aca="false">F28*G28</f>
        <v>0</v>
      </c>
      <c r="K28" s="22" t="n">
        <f aca="false">F28*H28</f>
        <v>0</v>
      </c>
      <c r="L28" s="22" t="n">
        <f aca="false">F28*I28</f>
        <v>2987.5</v>
      </c>
      <c r="M28" s="5" t="s">
        <v>225</v>
      </c>
    </row>
    <row r="29" customFormat="false" ht="15" hidden="false" customHeight="false" outlineLevel="0" collapsed="false">
      <c r="A29" s="5" t="s">
        <v>219</v>
      </c>
      <c r="B29" s="5" t="s">
        <v>226</v>
      </c>
      <c r="C29" s="5" t="s">
        <v>186</v>
      </c>
      <c r="D29" s="5" t="s">
        <v>227</v>
      </c>
      <c r="E29" s="5" t="s">
        <v>188</v>
      </c>
      <c r="F29" s="21" t="n">
        <v>2.58</v>
      </c>
      <c r="G29" s="21" t="n">
        <v>0</v>
      </c>
      <c r="H29" s="21" t="n">
        <v>0</v>
      </c>
      <c r="I29" s="21" t="n">
        <v>500</v>
      </c>
      <c r="J29" s="22" t="n">
        <f aca="false">F29*G29</f>
        <v>0</v>
      </c>
      <c r="K29" s="22" t="n">
        <f aca="false">F29*H29</f>
        <v>0</v>
      </c>
      <c r="L29" s="22" t="n">
        <f aca="false">F29*I29</f>
        <v>1290</v>
      </c>
      <c r="M29" s="5" t="s">
        <v>228</v>
      </c>
    </row>
    <row r="30" customFormat="false" ht="15" hidden="false" customHeight="false" outlineLevel="0" collapsed="false">
      <c r="A30" s="5" t="s">
        <v>219</v>
      </c>
      <c r="B30" s="5" t="s">
        <v>229</v>
      </c>
      <c r="C30" s="5" t="s">
        <v>186</v>
      </c>
      <c r="D30" s="5" t="s">
        <v>230</v>
      </c>
      <c r="E30" s="5" t="s">
        <v>188</v>
      </c>
      <c r="F30" s="21" t="n">
        <v>10.04</v>
      </c>
      <c r="G30" s="21" t="n">
        <v>0</v>
      </c>
      <c r="H30" s="21" t="n">
        <v>0</v>
      </c>
      <c r="I30" s="21" t="n">
        <v>300</v>
      </c>
      <c r="J30" s="22" t="n">
        <f aca="false">F30*G30</f>
        <v>0</v>
      </c>
      <c r="K30" s="22" t="n">
        <f aca="false">F30*H30</f>
        <v>0</v>
      </c>
      <c r="L30" s="22" t="n">
        <f aca="false">F30*I30</f>
        <v>3012</v>
      </c>
      <c r="M30" s="5" t="s">
        <v>231</v>
      </c>
    </row>
    <row r="31" customFormat="false" ht="15" hidden="false" customHeight="false" outlineLevel="0" collapsed="false">
      <c r="A31" s="5" t="s">
        <v>219</v>
      </c>
      <c r="B31" s="5" t="s">
        <v>232</v>
      </c>
      <c r="C31" s="5" t="s">
        <v>186</v>
      </c>
      <c r="D31" s="5" t="s">
        <v>233</v>
      </c>
      <c r="E31" s="5" t="s">
        <v>188</v>
      </c>
      <c r="F31" s="21" t="n">
        <v>28.42</v>
      </c>
      <c r="G31" s="21" t="n">
        <v>0</v>
      </c>
      <c r="H31" s="21" t="n">
        <v>0</v>
      </c>
      <c r="I31" s="21" t="n">
        <v>90</v>
      </c>
      <c r="J31" s="22" t="n">
        <f aca="false">F31*G31</f>
        <v>0</v>
      </c>
      <c r="K31" s="22" t="n">
        <f aca="false">F31*H31</f>
        <v>0</v>
      </c>
      <c r="L31" s="22" t="n">
        <f aca="false">F31*I31</f>
        <v>2557.8</v>
      </c>
      <c r="M31" s="5" t="s">
        <v>234</v>
      </c>
    </row>
    <row r="32" customFormat="false" ht="15" hidden="false" customHeight="false" outlineLevel="0" collapsed="false">
      <c r="A32" s="5" t="s">
        <v>219</v>
      </c>
      <c r="B32" s="5" t="s">
        <v>235</v>
      </c>
      <c r="C32" s="5" t="s">
        <v>186</v>
      </c>
      <c r="D32" s="5" t="s">
        <v>236</v>
      </c>
      <c r="E32" s="5" t="s">
        <v>188</v>
      </c>
      <c r="F32" s="21" t="n">
        <v>30.78</v>
      </c>
      <c r="G32" s="21" t="n">
        <v>0</v>
      </c>
      <c r="H32" s="21" t="n">
        <v>0</v>
      </c>
      <c r="I32" s="21" t="n">
        <v>45</v>
      </c>
      <c r="J32" s="22" t="n">
        <f aca="false">F32*G32</f>
        <v>0</v>
      </c>
      <c r="K32" s="22" t="n">
        <f aca="false">F32*H32</f>
        <v>0</v>
      </c>
      <c r="L32" s="22" t="n">
        <f aca="false">F32*I32</f>
        <v>1385.1</v>
      </c>
      <c r="M32" s="5" t="s">
        <v>237</v>
      </c>
    </row>
    <row r="33" customFormat="false" ht="15" hidden="false" customHeight="false" outlineLevel="0" collapsed="false">
      <c r="A33" s="5" t="s">
        <v>238</v>
      </c>
      <c r="B33" s="5" t="s">
        <v>239</v>
      </c>
      <c r="C33" s="5" t="s">
        <v>186</v>
      </c>
      <c r="D33" s="5" t="s">
        <v>240</v>
      </c>
      <c r="E33" s="5" t="s">
        <v>188</v>
      </c>
      <c r="F33" s="21" t="n">
        <v>101.54</v>
      </c>
      <c r="G33" s="21" t="n">
        <v>0</v>
      </c>
      <c r="H33" s="21" t="n">
        <v>0</v>
      </c>
      <c r="I33" s="21" t="n">
        <v>312.5</v>
      </c>
      <c r="J33" s="22" t="n">
        <f aca="false">F33*G33</f>
        <v>0</v>
      </c>
      <c r="K33" s="22" t="n">
        <f aca="false">F33*H33</f>
        <v>0</v>
      </c>
      <c r="L33" s="22" t="n">
        <f aca="false">F33*I33</f>
        <v>31731.25</v>
      </c>
      <c r="M33" s="5" t="s">
        <v>241</v>
      </c>
    </row>
    <row r="34" customFormat="false" ht="15" hidden="false" customHeight="false" outlineLevel="0" collapsed="false">
      <c r="A34" s="5" t="s">
        <v>238</v>
      </c>
      <c r="B34" s="5" t="s">
        <v>242</v>
      </c>
      <c r="C34" s="5" t="s">
        <v>186</v>
      </c>
      <c r="D34" s="5" t="s">
        <v>243</v>
      </c>
      <c r="E34" s="5" t="s">
        <v>188</v>
      </c>
      <c r="F34" s="21" t="n">
        <v>42.42</v>
      </c>
      <c r="G34" s="21" t="n">
        <v>0</v>
      </c>
      <c r="H34" s="21" t="n">
        <v>0</v>
      </c>
      <c r="I34" s="21" t="n">
        <v>625</v>
      </c>
      <c r="J34" s="22" t="n">
        <f aca="false">F34*G34</f>
        <v>0</v>
      </c>
      <c r="K34" s="22" t="n">
        <f aca="false">F34*H34</f>
        <v>0</v>
      </c>
      <c r="L34" s="22" t="n">
        <f aca="false">F34*I34</f>
        <v>26512.5</v>
      </c>
      <c r="M34" s="5" t="s">
        <v>244</v>
      </c>
    </row>
    <row r="35" customFormat="false" ht="15" hidden="false" customHeight="false" outlineLevel="0" collapsed="false">
      <c r="A35" s="5" t="s">
        <v>238</v>
      </c>
      <c r="B35" s="5" t="s">
        <v>245</v>
      </c>
      <c r="C35" s="5" t="s">
        <v>186</v>
      </c>
      <c r="D35" s="5" t="s">
        <v>246</v>
      </c>
      <c r="E35" s="5" t="s">
        <v>188</v>
      </c>
      <c r="F35" s="21" t="n">
        <v>73.2</v>
      </c>
      <c r="G35" s="21" t="n">
        <v>0</v>
      </c>
      <c r="H35" s="21" t="n">
        <v>0</v>
      </c>
      <c r="I35" s="21" t="n">
        <v>500</v>
      </c>
      <c r="J35" s="22" t="n">
        <f aca="false">F35*G35</f>
        <v>0</v>
      </c>
      <c r="K35" s="22" t="n">
        <f aca="false">F35*H35</f>
        <v>0</v>
      </c>
      <c r="L35" s="22" t="n">
        <f aca="false">F35*I35</f>
        <v>36600</v>
      </c>
      <c r="M35" s="5" t="s">
        <v>247</v>
      </c>
    </row>
    <row r="36" customFormat="false" ht="15" hidden="false" customHeight="false" outlineLevel="0" collapsed="false">
      <c r="A36" s="5" t="s">
        <v>248</v>
      </c>
      <c r="B36" s="5" t="s">
        <v>249</v>
      </c>
      <c r="C36" s="5" t="s">
        <v>186</v>
      </c>
      <c r="D36" s="5" t="s">
        <v>250</v>
      </c>
      <c r="E36" s="5" t="s">
        <v>188</v>
      </c>
      <c r="F36" s="21" t="n">
        <v>6.03</v>
      </c>
      <c r="G36" s="21" t="n">
        <v>0</v>
      </c>
      <c r="H36" s="21" t="n">
        <v>0</v>
      </c>
      <c r="I36" s="21" t="n">
        <v>720</v>
      </c>
      <c r="J36" s="22" t="n">
        <f aca="false">F36*G36</f>
        <v>0</v>
      </c>
      <c r="K36" s="22" t="n">
        <f aca="false">F36*H36</f>
        <v>0</v>
      </c>
      <c r="L36" s="22" t="n">
        <f aca="false">F36*I36</f>
        <v>4341.6</v>
      </c>
      <c r="M36" s="5" t="s">
        <v>251</v>
      </c>
    </row>
    <row r="37" customFormat="false" ht="15" hidden="false" customHeight="false" outlineLevel="0" collapsed="false">
      <c r="A37" s="5" t="s">
        <v>248</v>
      </c>
      <c r="B37" s="5" t="s">
        <v>252</v>
      </c>
      <c r="C37" s="5" t="s">
        <v>186</v>
      </c>
      <c r="D37" s="5" t="s">
        <v>253</v>
      </c>
      <c r="E37" s="5" t="s">
        <v>188</v>
      </c>
      <c r="F37" s="21" t="n">
        <v>31.79</v>
      </c>
      <c r="G37" s="21" t="n">
        <v>0</v>
      </c>
      <c r="H37" s="21" t="n">
        <v>0</v>
      </c>
      <c r="I37" s="21" t="n">
        <v>720</v>
      </c>
      <c r="J37" s="22" t="n">
        <f aca="false">F37*G37</f>
        <v>0</v>
      </c>
      <c r="K37" s="22" t="n">
        <f aca="false">F37*H37</f>
        <v>0</v>
      </c>
      <c r="L37" s="22" t="n">
        <f aca="false">F37*I37</f>
        <v>22888.8</v>
      </c>
      <c r="M37" s="5" t="s">
        <v>254</v>
      </c>
    </row>
    <row r="38" customFormat="false" ht="15" hidden="false" customHeight="false" outlineLevel="0" collapsed="false">
      <c r="A38" s="5" t="s">
        <v>248</v>
      </c>
      <c r="B38" s="5" t="s">
        <v>255</v>
      </c>
      <c r="C38" s="5" t="s">
        <v>186</v>
      </c>
      <c r="D38" s="5" t="s">
        <v>256</v>
      </c>
      <c r="E38" s="5" t="s">
        <v>188</v>
      </c>
      <c r="F38" s="21" t="n">
        <v>59.3</v>
      </c>
      <c r="G38" s="21" t="n">
        <v>0</v>
      </c>
      <c r="H38" s="21" t="n">
        <v>0</v>
      </c>
      <c r="I38" s="21" t="n">
        <v>90</v>
      </c>
      <c r="J38" s="22" t="n">
        <f aca="false">F38*G38</f>
        <v>0</v>
      </c>
      <c r="K38" s="22" t="n">
        <f aca="false">F38*H38</f>
        <v>0</v>
      </c>
      <c r="L38" s="22" t="n">
        <f aca="false">F38*I38</f>
        <v>5337</v>
      </c>
      <c r="M38" s="5" t="s">
        <v>257</v>
      </c>
    </row>
    <row r="39" customFormat="false" ht="15" hidden="false" customHeight="false" outlineLevel="0" collapsed="false">
      <c r="A39" s="5" t="s">
        <v>248</v>
      </c>
      <c r="B39" s="5" t="s">
        <v>258</v>
      </c>
      <c r="C39" s="5" t="s">
        <v>186</v>
      </c>
      <c r="D39" s="5" t="s">
        <v>259</v>
      </c>
      <c r="E39" s="5" t="s">
        <v>188</v>
      </c>
      <c r="F39" s="21" t="n">
        <v>58.19</v>
      </c>
      <c r="G39" s="21" t="n">
        <v>0</v>
      </c>
      <c r="H39" s="21" t="n">
        <v>0</v>
      </c>
      <c r="I39" s="21" t="n">
        <v>300</v>
      </c>
      <c r="J39" s="22" t="n">
        <f aca="false">F39*G39</f>
        <v>0</v>
      </c>
      <c r="K39" s="22" t="n">
        <f aca="false">F39*H39</f>
        <v>0</v>
      </c>
      <c r="L39" s="22" t="n">
        <f aca="false">F39*I39</f>
        <v>17457</v>
      </c>
      <c r="M39" s="5" t="s">
        <v>260</v>
      </c>
    </row>
    <row r="40" customFormat="false" ht="15" hidden="false" customHeight="false" outlineLevel="0" collapsed="false">
      <c r="A40" s="5" t="s">
        <v>248</v>
      </c>
      <c r="B40" s="5" t="s">
        <v>261</v>
      </c>
      <c r="C40" s="5" t="s">
        <v>186</v>
      </c>
      <c r="D40" s="5" t="s">
        <v>262</v>
      </c>
      <c r="E40" s="5" t="s">
        <v>188</v>
      </c>
      <c r="F40" s="21" t="n">
        <v>50.14</v>
      </c>
      <c r="G40" s="21" t="n">
        <v>0</v>
      </c>
      <c r="H40" s="21" t="n">
        <v>0</v>
      </c>
      <c r="I40" s="21" t="n">
        <v>300</v>
      </c>
      <c r="J40" s="22" t="n">
        <f aca="false">F40*G40</f>
        <v>0</v>
      </c>
      <c r="K40" s="22" t="n">
        <f aca="false">F40*H40</f>
        <v>0</v>
      </c>
      <c r="L40" s="22" t="n">
        <f aca="false">F40*I40</f>
        <v>15042</v>
      </c>
      <c r="M40" s="5" t="s">
        <v>263</v>
      </c>
    </row>
    <row r="41" customFormat="false" ht="15" hidden="false" customHeight="false" outlineLevel="0" collapsed="false">
      <c r="A41" s="5" t="s">
        <v>264</v>
      </c>
      <c r="B41" s="5" t="s">
        <v>265</v>
      </c>
      <c r="C41" s="5" t="s">
        <v>186</v>
      </c>
      <c r="D41" s="5" t="s">
        <v>266</v>
      </c>
      <c r="E41" s="5" t="s">
        <v>188</v>
      </c>
      <c r="F41" s="21" t="n">
        <v>12.33</v>
      </c>
      <c r="G41" s="21" t="n">
        <v>0</v>
      </c>
      <c r="H41" s="21" t="n">
        <v>0</v>
      </c>
      <c r="I41" s="21" t="n">
        <v>1500</v>
      </c>
      <c r="J41" s="22" t="n">
        <f aca="false">F41*G41</f>
        <v>0</v>
      </c>
      <c r="K41" s="22" t="n">
        <f aca="false">F41*H41</f>
        <v>0</v>
      </c>
      <c r="L41" s="22" t="n">
        <f aca="false">F41*I41</f>
        <v>18495</v>
      </c>
      <c r="M41" s="5" t="s">
        <v>267</v>
      </c>
    </row>
    <row r="42" customFormat="false" ht="15" hidden="false" customHeight="false" outlineLevel="0" collapsed="false">
      <c r="A42" s="5" t="s">
        <v>264</v>
      </c>
      <c r="B42" s="5" t="s">
        <v>268</v>
      </c>
      <c r="C42" s="5" t="s">
        <v>186</v>
      </c>
      <c r="D42" s="5" t="s">
        <v>269</v>
      </c>
      <c r="E42" s="5" t="s">
        <v>188</v>
      </c>
      <c r="F42" s="21" t="n">
        <v>15.25</v>
      </c>
      <c r="G42" s="21" t="n">
        <v>0</v>
      </c>
      <c r="H42" s="21" t="n">
        <v>0</v>
      </c>
      <c r="I42" s="21" t="n">
        <v>150</v>
      </c>
      <c r="J42" s="22" t="n">
        <f aca="false">F42*G42</f>
        <v>0</v>
      </c>
      <c r="K42" s="22" t="n">
        <f aca="false">F42*H42</f>
        <v>0</v>
      </c>
      <c r="L42" s="22" t="n">
        <f aca="false">F42*I42</f>
        <v>2287.5</v>
      </c>
      <c r="M42" s="5" t="s">
        <v>270</v>
      </c>
    </row>
    <row r="43" customFormat="false" ht="15" hidden="false" customHeight="false" outlineLevel="0" collapsed="false">
      <c r="A43" s="5" t="s">
        <v>271</v>
      </c>
      <c r="B43" s="5" t="s">
        <v>272</v>
      </c>
      <c r="C43" s="5" t="s">
        <v>186</v>
      </c>
      <c r="D43" s="5" t="s">
        <v>273</v>
      </c>
      <c r="E43" s="5" t="s">
        <v>188</v>
      </c>
      <c r="F43" s="21" t="n">
        <v>223.25</v>
      </c>
      <c r="G43" s="21" t="n">
        <v>0</v>
      </c>
      <c r="H43" s="21" t="n">
        <v>0</v>
      </c>
      <c r="I43" s="21" t="n">
        <v>45</v>
      </c>
      <c r="J43" s="22" t="n">
        <f aca="false">F43*G43</f>
        <v>0</v>
      </c>
      <c r="K43" s="22" t="n">
        <f aca="false">F43*H43</f>
        <v>0</v>
      </c>
      <c r="L43" s="22" t="n">
        <f aca="false">F43*I43</f>
        <v>10046.25</v>
      </c>
      <c r="M43" s="5" t="s">
        <v>274</v>
      </c>
    </row>
    <row r="44" customFormat="false" ht="15" hidden="false" customHeight="false" outlineLevel="0" collapsed="false">
      <c r="A44" s="5" t="s">
        <v>271</v>
      </c>
      <c r="B44" s="5" t="s">
        <v>275</v>
      </c>
      <c r="C44" s="5" t="s">
        <v>186</v>
      </c>
      <c r="D44" s="5" t="s">
        <v>276</v>
      </c>
      <c r="E44" s="5" t="s">
        <v>277</v>
      </c>
      <c r="F44" s="21" t="n">
        <v>1179.17</v>
      </c>
      <c r="G44" s="21" t="n">
        <v>0</v>
      </c>
      <c r="H44" s="21" t="n">
        <v>0</v>
      </c>
      <c r="I44" s="21" t="n">
        <v>20</v>
      </c>
      <c r="J44" s="22" t="n">
        <f aca="false">F44*G44</f>
        <v>0</v>
      </c>
      <c r="K44" s="22" t="n">
        <f aca="false">F44*H44</f>
        <v>0</v>
      </c>
      <c r="L44" s="22" t="n">
        <f aca="false">F44*I44</f>
        <v>23583.4</v>
      </c>
      <c r="M44" s="5" t="s">
        <v>278</v>
      </c>
    </row>
    <row r="45" customFormat="false" ht="15" hidden="false" customHeight="false" outlineLevel="0" collapsed="false">
      <c r="A45" s="5" t="s">
        <v>279</v>
      </c>
      <c r="B45" s="5" t="s">
        <v>280</v>
      </c>
      <c r="C45" s="5" t="s">
        <v>186</v>
      </c>
      <c r="D45" s="5" t="s">
        <v>281</v>
      </c>
      <c r="E45" s="5" t="s">
        <v>277</v>
      </c>
      <c r="F45" s="21" t="n">
        <v>53.69</v>
      </c>
      <c r="G45" s="21" t="n">
        <v>0</v>
      </c>
      <c r="H45" s="21" t="n">
        <v>0</v>
      </c>
      <c r="I45" s="21" t="n">
        <v>83.33</v>
      </c>
      <c r="J45" s="22" t="n">
        <f aca="false">F45*G45</f>
        <v>0</v>
      </c>
      <c r="K45" s="22" t="n">
        <f aca="false">F45*H45</f>
        <v>0</v>
      </c>
      <c r="L45" s="22" t="n">
        <f aca="false">F45*I45</f>
        <v>4473.9877</v>
      </c>
      <c r="M45" s="5" t="s">
        <v>282</v>
      </c>
    </row>
    <row r="46" customFormat="false" ht="15" hidden="false" customHeight="false" outlineLevel="0" collapsed="false">
      <c r="A46" s="5" t="s">
        <v>279</v>
      </c>
      <c r="B46" s="5" t="s">
        <v>283</v>
      </c>
      <c r="C46" s="5" t="s">
        <v>186</v>
      </c>
      <c r="D46" s="5" t="s">
        <v>284</v>
      </c>
      <c r="E46" s="5" t="s">
        <v>277</v>
      </c>
      <c r="F46" s="21" t="n">
        <v>30.86</v>
      </c>
      <c r="G46" s="21" t="n">
        <v>0</v>
      </c>
      <c r="H46" s="21" t="n">
        <v>0</v>
      </c>
      <c r="I46" s="21" t="n">
        <v>62.5</v>
      </c>
      <c r="J46" s="22" t="n">
        <f aca="false">F46*G46</f>
        <v>0</v>
      </c>
      <c r="K46" s="22" t="n">
        <f aca="false">F46*H46</f>
        <v>0</v>
      </c>
      <c r="L46" s="22" t="n">
        <f aca="false">F46*I46</f>
        <v>1928.75</v>
      </c>
      <c r="M46" s="5" t="s">
        <v>285</v>
      </c>
    </row>
    <row r="47" customFormat="false" ht="15" hidden="false" customHeight="false" outlineLevel="0" collapsed="false">
      <c r="A47" s="5" t="s">
        <v>279</v>
      </c>
      <c r="B47" s="5" t="s">
        <v>286</v>
      </c>
      <c r="C47" s="5" t="s">
        <v>186</v>
      </c>
      <c r="D47" s="5" t="s">
        <v>287</v>
      </c>
      <c r="E47" s="5" t="s">
        <v>194</v>
      </c>
      <c r="F47" s="21" t="n">
        <v>5.48</v>
      </c>
      <c r="G47" s="21" t="n">
        <v>0</v>
      </c>
      <c r="H47" s="21" t="n">
        <v>0</v>
      </c>
      <c r="I47" s="21" t="n">
        <v>6000</v>
      </c>
      <c r="J47" s="22" t="n">
        <f aca="false">F47*G47</f>
        <v>0</v>
      </c>
      <c r="K47" s="22" t="n">
        <f aca="false">F47*H47</f>
        <v>0</v>
      </c>
      <c r="L47" s="22" t="n">
        <f aca="false">F47*I47</f>
        <v>32880</v>
      </c>
      <c r="M47" s="5" t="s">
        <v>288</v>
      </c>
    </row>
    <row r="48" customFormat="false" ht="15" hidden="false" customHeight="false" outlineLevel="0" collapsed="false">
      <c r="A48" s="5" t="s">
        <v>279</v>
      </c>
      <c r="B48" s="5" t="s">
        <v>289</v>
      </c>
      <c r="C48" s="5" t="s">
        <v>186</v>
      </c>
      <c r="D48" s="5" t="s">
        <v>290</v>
      </c>
      <c r="E48" s="5" t="s">
        <v>194</v>
      </c>
      <c r="F48" s="21" t="n">
        <v>11.2</v>
      </c>
      <c r="G48" s="21" t="n">
        <v>0</v>
      </c>
      <c r="H48" s="21" t="n">
        <v>0</v>
      </c>
      <c r="I48" s="21" t="n">
        <v>2000</v>
      </c>
      <c r="J48" s="22" t="n">
        <f aca="false">F48*G48</f>
        <v>0</v>
      </c>
      <c r="K48" s="22" t="n">
        <f aca="false">F48*H48</f>
        <v>0</v>
      </c>
      <c r="L48" s="22" t="n">
        <f aca="false">F48*I48</f>
        <v>22400</v>
      </c>
      <c r="M48" s="5" t="s">
        <v>291</v>
      </c>
    </row>
    <row r="49" customFormat="false" ht="15" hidden="false" customHeight="false" outlineLevel="0" collapsed="false">
      <c r="A49" s="5" t="s">
        <v>279</v>
      </c>
      <c r="B49" s="5" t="s">
        <v>292</v>
      </c>
      <c r="C49" s="5" t="s">
        <v>186</v>
      </c>
      <c r="D49" s="5" t="s">
        <v>293</v>
      </c>
      <c r="E49" s="5" t="s">
        <v>277</v>
      </c>
      <c r="F49" s="21" t="n">
        <v>623.29</v>
      </c>
      <c r="G49" s="21" t="n">
        <v>0</v>
      </c>
      <c r="H49" s="21" t="n">
        <v>0</v>
      </c>
      <c r="I49" s="21" t="n">
        <v>3.33</v>
      </c>
      <c r="J49" s="22" t="n">
        <f aca="false">F49*G49</f>
        <v>0</v>
      </c>
      <c r="K49" s="22" t="n">
        <f aca="false">F49*H49</f>
        <v>0</v>
      </c>
      <c r="L49" s="22" t="n">
        <f aca="false">F49*I49</f>
        <v>2075.5557</v>
      </c>
      <c r="M49" s="5" t="s">
        <v>294</v>
      </c>
    </row>
    <row r="50" customFormat="false" ht="15" hidden="false" customHeight="false" outlineLevel="0" collapsed="false">
      <c r="A50" s="5" t="s">
        <v>279</v>
      </c>
      <c r="B50" s="5" t="s">
        <v>295</v>
      </c>
      <c r="C50" s="5" t="s">
        <v>186</v>
      </c>
      <c r="D50" s="5" t="s">
        <v>296</v>
      </c>
      <c r="E50" s="5" t="s">
        <v>277</v>
      </c>
      <c r="F50" s="21" t="n">
        <v>630.3</v>
      </c>
      <c r="G50" s="21" t="n">
        <v>0</v>
      </c>
      <c r="H50" s="21" t="n">
        <v>0</v>
      </c>
      <c r="I50" s="21" t="n">
        <v>12.5</v>
      </c>
      <c r="J50" s="22" t="n">
        <f aca="false">F50*G50</f>
        <v>0</v>
      </c>
      <c r="K50" s="22" t="n">
        <f aca="false">F50*H50</f>
        <v>0</v>
      </c>
      <c r="L50" s="22" t="n">
        <f aca="false">F50*I50</f>
        <v>7878.75</v>
      </c>
      <c r="M50" s="5" t="s">
        <v>297</v>
      </c>
    </row>
    <row r="51" customFormat="false" ht="15" hidden="false" customHeight="false" outlineLevel="0" collapsed="false">
      <c r="A51" s="5" t="s">
        <v>279</v>
      </c>
      <c r="B51" s="5" t="s">
        <v>298</v>
      </c>
      <c r="C51" s="5" t="s">
        <v>186</v>
      </c>
      <c r="D51" s="5" t="s">
        <v>299</v>
      </c>
      <c r="E51" s="5" t="s">
        <v>277</v>
      </c>
      <c r="F51" s="21" t="n">
        <v>368.02</v>
      </c>
      <c r="G51" s="21" t="n">
        <v>0</v>
      </c>
      <c r="H51" s="21" t="n">
        <v>0</v>
      </c>
      <c r="I51" s="21" t="n">
        <v>12.5</v>
      </c>
      <c r="J51" s="22" t="n">
        <f aca="false">F51*G51</f>
        <v>0</v>
      </c>
      <c r="K51" s="22" t="n">
        <f aca="false">F51*H51</f>
        <v>0</v>
      </c>
      <c r="L51" s="22" t="n">
        <f aca="false">F51*I51</f>
        <v>4600.25</v>
      </c>
      <c r="M51" s="5" t="s">
        <v>300</v>
      </c>
    </row>
    <row r="52" customFormat="false" ht="15" hidden="false" customHeight="false" outlineLevel="0" collapsed="false">
      <c r="A52" s="5" t="s">
        <v>279</v>
      </c>
      <c r="B52" s="5" t="s">
        <v>301</v>
      </c>
      <c r="C52" s="5" t="s">
        <v>186</v>
      </c>
      <c r="D52" s="5" t="s">
        <v>302</v>
      </c>
      <c r="E52" s="5" t="s">
        <v>194</v>
      </c>
      <c r="F52" s="21" t="n">
        <v>43.26</v>
      </c>
      <c r="G52" s="21" t="n">
        <v>0</v>
      </c>
      <c r="H52" s="21" t="n">
        <v>0</v>
      </c>
      <c r="I52" s="21" t="n">
        <v>150</v>
      </c>
      <c r="J52" s="22" t="n">
        <f aca="false">F52*G52</f>
        <v>0</v>
      </c>
      <c r="K52" s="22" t="n">
        <f aca="false">F52*H52</f>
        <v>0</v>
      </c>
      <c r="L52" s="22" t="n">
        <f aca="false">F52*I52</f>
        <v>6489</v>
      </c>
      <c r="M52" s="5" t="s">
        <v>303</v>
      </c>
    </row>
    <row r="53" customFormat="false" ht="15" hidden="false" customHeight="false" outlineLevel="0" collapsed="false">
      <c r="A53" s="5" t="s">
        <v>304</v>
      </c>
      <c r="B53" s="5" t="s">
        <v>305</v>
      </c>
      <c r="C53" s="5" t="s">
        <v>186</v>
      </c>
      <c r="D53" s="5" t="s">
        <v>306</v>
      </c>
      <c r="E53" s="5" t="s">
        <v>277</v>
      </c>
      <c r="F53" s="21" t="n">
        <v>288.1</v>
      </c>
      <c r="G53" s="21" t="n">
        <v>0</v>
      </c>
      <c r="H53" s="21" t="n">
        <v>0</v>
      </c>
      <c r="I53" s="21" t="n">
        <v>3.33</v>
      </c>
      <c r="J53" s="22" t="n">
        <f aca="false">F53*G53</f>
        <v>0</v>
      </c>
      <c r="K53" s="22" t="n">
        <f aca="false">F53*H53</f>
        <v>0</v>
      </c>
      <c r="L53" s="22" t="n">
        <f aca="false">F53*I53</f>
        <v>959.373</v>
      </c>
      <c r="M53" s="5" t="s">
        <v>307</v>
      </c>
    </row>
    <row r="54" customFormat="false" ht="15" hidden="false" customHeight="false" outlineLevel="0" collapsed="false">
      <c r="A54" s="5" t="s">
        <v>304</v>
      </c>
      <c r="B54" s="5" t="s">
        <v>308</v>
      </c>
      <c r="C54" s="5" t="s">
        <v>186</v>
      </c>
      <c r="D54" s="5" t="s">
        <v>309</v>
      </c>
      <c r="E54" s="5" t="s">
        <v>277</v>
      </c>
      <c r="F54" s="21" t="n">
        <v>17.96</v>
      </c>
      <c r="G54" s="21" t="n">
        <v>0</v>
      </c>
      <c r="H54" s="21" t="n">
        <v>0</v>
      </c>
      <c r="I54" s="21" t="n">
        <v>10</v>
      </c>
      <c r="J54" s="22" t="n">
        <f aca="false">F54*G54</f>
        <v>0</v>
      </c>
      <c r="K54" s="22" t="n">
        <f aca="false">F54*H54</f>
        <v>0</v>
      </c>
      <c r="L54" s="22" t="n">
        <f aca="false">F54*I54</f>
        <v>179.6</v>
      </c>
      <c r="M54" s="5" t="s">
        <v>310</v>
      </c>
    </row>
    <row r="55" customFormat="false" ht="15" hidden="false" customHeight="false" outlineLevel="0" collapsed="false">
      <c r="A55" s="5" t="s">
        <v>304</v>
      </c>
      <c r="B55" s="5" t="s">
        <v>311</v>
      </c>
      <c r="C55" s="5" t="s">
        <v>192</v>
      </c>
      <c r="D55" s="5" t="s">
        <v>312</v>
      </c>
      <c r="E55" s="5" t="s">
        <v>277</v>
      </c>
      <c r="F55" s="21" t="n">
        <v>20.47</v>
      </c>
      <c r="G55" s="21" t="n">
        <v>0</v>
      </c>
      <c r="H55" s="21" t="n">
        <v>0</v>
      </c>
      <c r="I55" s="21" t="n">
        <v>10</v>
      </c>
      <c r="J55" s="22" t="n">
        <f aca="false">F55*G55</f>
        <v>0</v>
      </c>
      <c r="K55" s="22" t="n">
        <f aca="false">F55*H55</f>
        <v>0</v>
      </c>
      <c r="L55" s="22" t="n">
        <f aca="false">F55*I55</f>
        <v>204.7</v>
      </c>
      <c r="M55" s="5" t="s">
        <v>313</v>
      </c>
    </row>
    <row r="56" customFormat="false" ht="15" hidden="false" customHeight="false" outlineLevel="0" collapsed="false">
      <c r="A56" s="5" t="s">
        <v>314</v>
      </c>
      <c r="B56" s="5" t="s">
        <v>315</v>
      </c>
      <c r="C56" s="5" t="s">
        <v>186</v>
      </c>
      <c r="D56" s="5" t="s">
        <v>316</v>
      </c>
      <c r="E56" s="5" t="s">
        <v>317</v>
      </c>
      <c r="F56" s="21" t="n">
        <v>9.88</v>
      </c>
      <c r="G56" s="21" t="n">
        <v>0</v>
      </c>
      <c r="H56" s="21" t="n">
        <v>0</v>
      </c>
      <c r="I56" s="21" t="n">
        <v>25</v>
      </c>
      <c r="J56" s="22" t="n">
        <f aca="false">F56*G56</f>
        <v>0</v>
      </c>
      <c r="K56" s="22" t="n">
        <f aca="false">F56*H56</f>
        <v>0</v>
      </c>
      <c r="L56" s="22" t="n">
        <f aca="false">F56*I56</f>
        <v>247</v>
      </c>
      <c r="M56" s="5" t="s">
        <v>318</v>
      </c>
    </row>
    <row r="57" customFormat="false" ht="15" hidden="false" customHeight="false" outlineLevel="0" collapsed="false">
      <c r="A57" s="5" t="s">
        <v>314</v>
      </c>
      <c r="B57" s="5" t="s">
        <v>319</v>
      </c>
      <c r="C57" s="5" t="s">
        <v>186</v>
      </c>
      <c r="D57" s="5" t="s">
        <v>320</v>
      </c>
      <c r="E57" s="5" t="s">
        <v>321</v>
      </c>
      <c r="F57" s="21" t="n">
        <v>2.83</v>
      </c>
      <c r="G57" s="21" t="n">
        <v>0</v>
      </c>
      <c r="H57" s="21" t="n">
        <v>0</v>
      </c>
      <c r="I57" s="21" t="n">
        <v>250</v>
      </c>
      <c r="J57" s="22" t="n">
        <f aca="false">F57*G57</f>
        <v>0</v>
      </c>
      <c r="K57" s="22" t="n">
        <f aca="false">F57*H57</f>
        <v>0</v>
      </c>
      <c r="L57" s="22" t="n">
        <f aca="false">F57*I57</f>
        <v>707.5</v>
      </c>
      <c r="M57" s="5" t="s">
        <v>322</v>
      </c>
    </row>
    <row r="58" customFormat="false" ht="15" hidden="false" customHeight="false" outlineLevel="0" collapsed="false">
      <c r="I58" s="7" t="s">
        <v>323</v>
      </c>
      <c r="J58" s="23" t="n">
        <f aca="false">SUM(J18:J57)</f>
        <v>16125.2538</v>
      </c>
      <c r="K58" s="23" t="n">
        <f aca="false">SUM(K18:K57)</f>
        <v>23223.6262</v>
      </c>
      <c r="L58" s="23" t="n">
        <f aca="false">SUM(L18:L57)</f>
        <v>350729.1826</v>
      </c>
    </row>
    <row r="59" customFormat="false" ht="15" hidden="false" customHeight="false" outlineLevel="0" collapsed="false">
      <c r="I59" s="7" t="s">
        <v>324</v>
      </c>
      <c r="J59" s="24" t="n">
        <f aca="false">PARAMETROS!$B$6</f>
        <v>0.2034</v>
      </c>
      <c r="K59" s="24" t="n">
        <f aca="false">PARAMETROS!$C$6</f>
        <v>0.2212</v>
      </c>
      <c r="L59" s="24" t="n">
        <f aca="false">PARAMETROS!$D$6</f>
        <v>0.25</v>
      </c>
    </row>
    <row r="60" customFormat="false" ht="15" hidden="false" customHeight="false" outlineLevel="0" collapsed="false">
      <c r="I60" s="7" t="s">
        <v>325</v>
      </c>
      <c r="J60" s="24" t="n">
        <f aca="false">PARAMETROS!$B$8</f>
        <v>0.05</v>
      </c>
      <c r="K60" s="24" t="n">
        <f aca="false">PARAMETROS!$C$8</f>
        <v>0.1</v>
      </c>
      <c r="L60" s="24" t="n">
        <f aca="false">PARAMETROS!$D$8</f>
        <v>0.15</v>
      </c>
    </row>
    <row r="61" customFormat="false" ht="15" hidden="false" customHeight="false" outlineLevel="0" collapsed="false">
      <c r="I61" s="7" t="s">
        <v>155</v>
      </c>
      <c r="J61" s="25" t="n">
        <f aca="false">PARAMETROS!$B$9</f>
        <v>1</v>
      </c>
      <c r="K61" s="25" t="n">
        <f aca="false">PARAMETROS!$C$9</f>
        <v>1</v>
      </c>
      <c r="L61" s="25" t="n">
        <f aca="false">PARAMETROS!$D$9</f>
        <v>1.1</v>
      </c>
    </row>
    <row r="62" customFormat="false" ht="15" hidden="false" customHeight="false" outlineLevel="0" collapsed="false">
      <c r="I62" s="7" t="s">
        <v>326</v>
      </c>
      <c r="J62" s="8" t="n">
        <f aca="false">J58*(1+J59)*(1+J60)*J61</f>
        <v>20375.386944066</v>
      </c>
      <c r="K62" s="8" t="n">
        <f aca="false">K58*(1+K59)*(1+K60)*K61</f>
        <v>31196.761546984</v>
      </c>
      <c r="L62" s="8" t="n">
        <f aca="false">L58*(1+L59)*(1+L60)*L61</f>
        <v>554590.51998625</v>
      </c>
    </row>
    <row r="64" customFormat="false" ht="15" hidden="false" customHeight="false" outlineLevel="0" collapsed="false">
      <c r="A64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21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23</v>
      </c>
    </row>
    <row r="8" customFormat="false" ht="15" hidden="false" customHeight="false" outlineLevel="0" collapsed="false">
      <c r="A8" s="7" t="s">
        <v>160</v>
      </c>
      <c r="B8" s="10" t="s">
        <v>329</v>
      </c>
    </row>
    <row r="9" customFormat="false" ht="15" hidden="false" customHeight="false" outlineLevel="0" collapsed="false">
      <c r="A9" s="7" t="s">
        <v>9</v>
      </c>
      <c r="B9" s="10" t="s">
        <v>24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330</v>
      </c>
    </row>
    <row r="13" customFormat="false" ht="15" hidden="false" customHeight="false" outlineLevel="0" collapsed="false">
      <c r="B13" s="20" t="s">
        <v>331</v>
      </c>
    </row>
    <row r="14" customFormat="false" ht="15" hidden="false" customHeight="false" outlineLevel="0" collapsed="false">
      <c r="B14" s="20" t="s">
        <v>332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334</v>
      </c>
      <c r="C17" s="5" t="s">
        <v>186</v>
      </c>
      <c r="D17" s="5" t="s">
        <v>335</v>
      </c>
      <c r="E17" s="5" t="s">
        <v>194</v>
      </c>
      <c r="F17" s="21" t="n">
        <v>75.94</v>
      </c>
      <c r="G17" s="21" t="n">
        <v>45</v>
      </c>
      <c r="H17" s="21" t="n">
        <v>100</v>
      </c>
      <c r="I17" s="21" t="n">
        <v>175</v>
      </c>
      <c r="J17" s="22" t="n">
        <f aca="false">F17*G17</f>
        <v>3417.3</v>
      </c>
      <c r="K17" s="22" t="n">
        <f aca="false">F17*H17</f>
        <v>7594</v>
      </c>
      <c r="L17" s="22" t="n">
        <f aca="false">F17*I17</f>
        <v>13289.5</v>
      </c>
      <c r="M17" s="5" t="s">
        <v>336</v>
      </c>
    </row>
    <row r="18" customFormat="false" ht="15" hidden="false" customHeight="false" outlineLevel="0" collapsed="false">
      <c r="A18" s="5" t="s">
        <v>337</v>
      </c>
      <c r="B18" s="5" t="s">
        <v>338</v>
      </c>
      <c r="C18" s="5" t="s">
        <v>186</v>
      </c>
      <c r="D18" s="5" t="s">
        <v>339</v>
      </c>
      <c r="E18" s="5" t="s">
        <v>317</v>
      </c>
      <c r="F18" s="21" t="n">
        <v>103.4</v>
      </c>
      <c r="G18" s="21" t="n">
        <v>14.4</v>
      </c>
      <c r="H18" s="21" t="n">
        <v>32</v>
      </c>
      <c r="I18" s="21" t="n">
        <v>56</v>
      </c>
      <c r="J18" s="22" t="n">
        <f aca="false">F18*G18</f>
        <v>1488.96</v>
      </c>
      <c r="K18" s="22" t="n">
        <f aca="false">F18*H18</f>
        <v>3308.8</v>
      </c>
      <c r="L18" s="22" t="n">
        <f aca="false">F18*I18</f>
        <v>5790.4</v>
      </c>
      <c r="M18" s="5" t="s">
        <v>340</v>
      </c>
    </row>
    <row r="19" customFormat="false" ht="15" hidden="false" customHeight="false" outlineLevel="0" collapsed="false">
      <c r="A19" s="5" t="s">
        <v>337</v>
      </c>
      <c r="B19" s="5" t="s">
        <v>341</v>
      </c>
      <c r="C19" s="5" t="s">
        <v>186</v>
      </c>
      <c r="D19" s="5" t="s">
        <v>342</v>
      </c>
      <c r="E19" s="5" t="s">
        <v>317</v>
      </c>
      <c r="F19" s="21" t="n">
        <v>828.32</v>
      </c>
      <c r="G19" s="21" t="n">
        <v>21.6</v>
      </c>
      <c r="H19" s="21" t="n">
        <v>48</v>
      </c>
      <c r="I19" s="21" t="n">
        <v>84</v>
      </c>
      <c r="J19" s="22" t="n">
        <f aca="false">F19*G19</f>
        <v>17891.712</v>
      </c>
      <c r="K19" s="22" t="n">
        <f aca="false">F19*H19</f>
        <v>39759.36</v>
      </c>
      <c r="L19" s="22" t="n">
        <f aca="false">F19*I19</f>
        <v>69578.88</v>
      </c>
      <c r="M19" s="5" t="s">
        <v>343</v>
      </c>
    </row>
    <row r="20" customFormat="false" ht="15" hidden="false" customHeight="false" outlineLevel="0" collapsed="false">
      <c r="A20" s="5" t="s">
        <v>337</v>
      </c>
      <c r="B20" s="5" t="s">
        <v>344</v>
      </c>
      <c r="C20" s="5" t="s">
        <v>186</v>
      </c>
      <c r="D20" s="5" t="s">
        <v>345</v>
      </c>
      <c r="E20" s="5" t="s">
        <v>346</v>
      </c>
      <c r="F20" s="21" t="n">
        <v>10.41</v>
      </c>
      <c r="G20" s="21" t="n">
        <v>1800</v>
      </c>
      <c r="H20" s="21" t="n">
        <v>4000</v>
      </c>
      <c r="I20" s="21" t="n">
        <v>7000</v>
      </c>
      <c r="J20" s="22" t="n">
        <f aca="false">F20*G20</f>
        <v>18738</v>
      </c>
      <c r="K20" s="22" t="n">
        <f aca="false">F20*H20</f>
        <v>41640</v>
      </c>
      <c r="L20" s="22" t="n">
        <f aca="false">F20*I20</f>
        <v>72870</v>
      </c>
      <c r="M20" s="5" t="s">
        <v>347</v>
      </c>
    </row>
    <row r="21" customFormat="false" ht="15" hidden="false" customHeight="false" outlineLevel="0" collapsed="false">
      <c r="A21" s="5" t="s">
        <v>337</v>
      </c>
      <c r="B21" s="5" t="s">
        <v>348</v>
      </c>
      <c r="C21" s="5" t="s">
        <v>186</v>
      </c>
      <c r="D21" s="5" t="s">
        <v>349</v>
      </c>
      <c r="E21" s="5" t="s">
        <v>188</v>
      </c>
      <c r="F21" s="21" t="n">
        <v>122.64</v>
      </c>
      <c r="G21" s="21" t="n">
        <v>198</v>
      </c>
      <c r="H21" s="21" t="n">
        <v>440</v>
      </c>
      <c r="I21" s="21" t="n">
        <v>770</v>
      </c>
      <c r="J21" s="22" t="n">
        <f aca="false">F21*G21</f>
        <v>24282.72</v>
      </c>
      <c r="K21" s="22" t="n">
        <f aca="false">F21*H21</f>
        <v>53961.6</v>
      </c>
      <c r="L21" s="22" t="n">
        <f aca="false">F21*I21</f>
        <v>94432.8</v>
      </c>
      <c r="M21" s="5" t="s">
        <v>350</v>
      </c>
    </row>
    <row r="22" customFormat="false" ht="15" hidden="false" customHeight="false" outlineLevel="0" collapsed="false">
      <c r="A22" s="5" t="s">
        <v>351</v>
      </c>
      <c r="B22" s="5" t="s">
        <v>352</v>
      </c>
      <c r="C22" s="5" t="s">
        <v>186</v>
      </c>
      <c r="D22" s="5" t="s">
        <v>353</v>
      </c>
      <c r="E22" s="5" t="s">
        <v>188</v>
      </c>
      <c r="F22" s="21" t="n">
        <v>119.54</v>
      </c>
      <c r="G22" s="21" t="n">
        <v>270</v>
      </c>
      <c r="H22" s="21" t="n">
        <v>600</v>
      </c>
      <c r="I22" s="21" t="n">
        <v>1050</v>
      </c>
      <c r="J22" s="22" t="n">
        <f aca="false">F22*G22</f>
        <v>32275.8</v>
      </c>
      <c r="K22" s="22" t="n">
        <f aca="false">F22*H22</f>
        <v>71724</v>
      </c>
      <c r="L22" s="22" t="n">
        <f aca="false">F22*I22</f>
        <v>125517</v>
      </c>
      <c r="M22" s="5" t="s">
        <v>354</v>
      </c>
    </row>
    <row r="23" customFormat="false" ht="15" hidden="false" customHeight="false" outlineLevel="0" collapsed="false">
      <c r="A23" s="5" t="s">
        <v>351</v>
      </c>
      <c r="B23" s="5" t="s">
        <v>249</v>
      </c>
      <c r="C23" s="5" t="s">
        <v>186</v>
      </c>
      <c r="D23" s="5" t="s">
        <v>250</v>
      </c>
      <c r="E23" s="5" t="s">
        <v>188</v>
      </c>
      <c r="F23" s="21" t="n">
        <v>6.03</v>
      </c>
      <c r="G23" s="21" t="n">
        <v>540</v>
      </c>
      <c r="H23" s="21" t="n">
        <v>1200</v>
      </c>
      <c r="I23" s="21" t="n">
        <v>2100</v>
      </c>
      <c r="J23" s="22" t="n">
        <f aca="false">F23*G23</f>
        <v>3256.2</v>
      </c>
      <c r="K23" s="22" t="n">
        <f aca="false">F23*H23</f>
        <v>7236</v>
      </c>
      <c r="L23" s="22" t="n">
        <f aca="false">F23*I23</f>
        <v>12663</v>
      </c>
      <c r="M23" s="5" t="s">
        <v>355</v>
      </c>
    </row>
    <row r="24" customFormat="false" ht="15" hidden="false" customHeight="false" outlineLevel="0" collapsed="false">
      <c r="A24" s="5" t="s">
        <v>351</v>
      </c>
      <c r="B24" s="5" t="s">
        <v>252</v>
      </c>
      <c r="C24" s="5" t="s">
        <v>186</v>
      </c>
      <c r="D24" s="5" t="s">
        <v>253</v>
      </c>
      <c r="E24" s="5" t="s">
        <v>188</v>
      </c>
      <c r="F24" s="21" t="n">
        <v>31.79</v>
      </c>
      <c r="G24" s="21" t="n">
        <v>432</v>
      </c>
      <c r="H24" s="21" t="n">
        <v>960</v>
      </c>
      <c r="I24" s="21" t="n">
        <v>1680</v>
      </c>
      <c r="J24" s="22" t="n">
        <f aca="false">F24*G24</f>
        <v>13733.28</v>
      </c>
      <c r="K24" s="22" t="n">
        <f aca="false">F24*H24</f>
        <v>30518.4</v>
      </c>
      <c r="L24" s="22" t="n">
        <f aca="false">F24*I24</f>
        <v>53407.2</v>
      </c>
      <c r="M24" s="5" t="s">
        <v>356</v>
      </c>
    </row>
    <row r="25" customFormat="false" ht="15" hidden="false" customHeight="false" outlineLevel="0" collapsed="false">
      <c r="A25" s="5" t="s">
        <v>351</v>
      </c>
      <c r="B25" s="5" t="s">
        <v>357</v>
      </c>
      <c r="C25" s="5" t="s">
        <v>186</v>
      </c>
      <c r="D25" s="5" t="s">
        <v>358</v>
      </c>
      <c r="E25" s="5" t="s">
        <v>188</v>
      </c>
      <c r="F25" s="21" t="n">
        <v>83.28</v>
      </c>
      <c r="G25" s="21" t="n">
        <v>108</v>
      </c>
      <c r="H25" s="21" t="n">
        <v>240</v>
      </c>
      <c r="I25" s="21" t="n">
        <v>420</v>
      </c>
      <c r="J25" s="22" t="n">
        <f aca="false">F25*G25</f>
        <v>8994.24</v>
      </c>
      <c r="K25" s="22" t="n">
        <f aca="false">F25*H25</f>
        <v>19987.2</v>
      </c>
      <c r="L25" s="22" t="n">
        <f aca="false">F25*I25</f>
        <v>34977.6</v>
      </c>
      <c r="M25" s="5" t="s">
        <v>359</v>
      </c>
    </row>
    <row r="26" customFormat="false" ht="15" hidden="false" customHeight="false" outlineLevel="0" collapsed="false">
      <c r="A26" s="5" t="s">
        <v>351</v>
      </c>
      <c r="B26" s="5" t="s">
        <v>255</v>
      </c>
      <c r="C26" s="5" t="s">
        <v>186</v>
      </c>
      <c r="D26" s="5" t="s">
        <v>256</v>
      </c>
      <c r="E26" s="5" t="s">
        <v>188</v>
      </c>
      <c r="F26" s="21" t="n">
        <v>59.3</v>
      </c>
      <c r="G26" s="21" t="n">
        <v>54</v>
      </c>
      <c r="H26" s="21" t="n">
        <v>120</v>
      </c>
      <c r="I26" s="21" t="n">
        <v>210</v>
      </c>
      <c r="J26" s="22" t="n">
        <f aca="false">F26*G26</f>
        <v>3202.2</v>
      </c>
      <c r="K26" s="22" t="n">
        <f aca="false">F26*H26</f>
        <v>7116</v>
      </c>
      <c r="L26" s="22" t="n">
        <f aca="false">F26*I26</f>
        <v>12453</v>
      </c>
      <c r="M26" s="5" t="s">
        <v>360</v>
      </c>
    </row>
    <row r="27" customFormat="false" ht="15" hidden="false" customHeight="false" outlineLevel="0" collapsed="false">
      <c r="A27" s="5" t="s">
        <v>361</v>
      </c>
      <c r="B27" s="5" t="s">
        <v>362</v>
      </c>
      <c r="C27" s="5" t="s">
        <v>186</v>
      </c>
      <c r="D27" s="5" t="s">
        <v>363</v>
      </c>
      <c r="E27" s="5" t="s">
        <v>188</v>
      </c>
      <c r="F27" s="21" t="n">
        <v>48.41</v>
      </c>
      <c r="G27" s="21" t="n">
        <v>180</v>
      </c>
      <c r="H27" s="21" t="n">
        <v>400</v>
      </c>
      <c r="I27" s="21" t="n">
        <v>700</v>
      </c>
      <c r="J27" s="22" t="n">
        <f aca="false">F27*G27</f>
        <v>8713.8</v>
      </c>
      <c r="K27" s="22" t="n">
        <f aca="false">F27*H27</f>
        <v>19364</v>
      </c>
      <c r="L27" s="22" t="n">
        <f aca="false">F27*I27</f>
        <v>33887</v>
      </c>
      <c r="M27" s="5" t="s">
        <v>364</v>
      </c>
    </row>
    <row r="28" customFormat="false" ht="15" hidden="false" customHeight="false" outlineLevel="0" collapsed="false">
      <c r="A28" s="5" t="s">
        <v>361</v>
      </c>
      <c r="B28" s="5" t="s">
        <v>258</v>
      </c>
      <c r="C28" s="5" t="s">
        <v>186</v>
      </c>
      <c r="D28" s="5" t="s">
        <v>259</v>
      </c>
      <c r="E28" s="5" t="s">
        <v>188</v>
      </c>
      <c r="F28" s="21" t="n">
        <v>58.19</v>
      </c>
      <c r="G28" s="21" t="n">
        <v>180</v>
      </c>
      <c r="H28" s="21" t="n">
        <v>400</v>
      </c>
      <c r="I28" s="21" t="n">
        <v>700</v>
      </c>
      <c r="J28" s="22" t="n">
        <f aca="false">F28*G28</f>
        <v>10474.2</v>
      </c>
      <c r="K28" s="22" t="n">
        <f aca="false">F28*H28</f>
        <v>23276</v>
      </c>
      <c r="L28" s="22" t="n">
        <f aca="false">F28*I28</f>
        <v>40733</v>
      </c>
      <c r="M28" s="5" t="s">
        <v>365</v>
      </c>
    </row>
    <row r="29" customFormat="false" ht="15" hidden="false" customHeight="false" outlineLevel="0" collapsed="false">
      <c r="A29" s="5" t="s">
        <v>361</v>
      </c>
      <c r="B29" s="5" t="s">
        <v>261</v>
      </c>
      <c r="C29" s="5" t="s">
        <v>186</v>
      </c>
      <c r="D29" s="5" t="s">
        <v>262</v>
      </c>
      <c r="E29" s="5" t="s">
        <v>188</v>
      </c>
      <c r="F29" s="21" t="n">
        <v>50.14</v>
      </c>
      <c r="G29" s="21" t="n">
        <v>180</v>
      </c>
      <c r="H29" s="21" t="n">
        <v>400</v>
      </c>
      <c r="I29" s="21" t="n">
        <v>700</v>
      </c>
      <c r="J29" s="22" t="n">
        <f aca="false">F29*G29</f>
        <v>9025.2</v>
      </c>
      <c r="K29" s="22" t="n">
        <f aca="false">F29*H29</f>
        <v>20056</v>
      </c>
      <c r="L29" s="22" t="n">
        <f aca="false">F29*I29</f>
        <v>35098</v>
      </c>
      <c r="M29" s="5" t="s">
        <v>366</v>
      </c>
    </row>
    <row r="30" customFormat="false" ht="15" hidden="false" customHeight="false" outlineLevel="0" collapsed="false">
      <c r="A30" s="5" t="s">
        <v>361</v>
      </c>
      <c r="B30" s="5" t="s">
        <v>367</v>
      </c>
      <c r="C30" s="5" t="s">
        <v>186</v>
      </c>
      <c r="D30" s="5" t="s">
        <v>368</v>
      </c>
      <c r="E30" s="5" t="s">
        <v>188</v>
      </c>
      <c r="F30" s="21" t="n">
        <v>91.17</v>
      </c>
      <c r="G30" s="21" t="n">
        <v>27</v>
      </c>
      <c r="H30" s="21" t="n">
        <v>60</v>
      </c>
      <c r="I30" s="21" t="n">
        <v>105</v>
      </c>
      <c r="J30" s="22" t="n">
        <f aca="false">F30*G30</f>
        <v>2461.59</v>
      </c>
      <c r="K30" s="22" t="n">
        <f aca="false">F30*H30</f>
        <v>5470.2</v>
      </c>
      <c r="L30" s="22" t="n">
        <f aca="false">F30*I30</f>
        <v>9572.85</v>
      </c>
      <c r="M30" s="5" t="s">
        <v>369</v>
      </c>
    </row>
    <row r="31" customFormat="false" ht="15" hidden="false" customHeight="false" outlineLevel="0" collapsed="false">
      <c r="A31" s="5" t="s">
        <v>370</v>
      </c>
      <c r="B31" s="5" t="s">
        <v>239</v>
      </c>
      <c r="C31" s="5" t="s">
        <v>186</v>
      </c>
      <c r="D31" s="5" t="s">
        <v>240</v>
      </c>
      <c r="E31" s="5" t="s">
        <v>188</v>
      </c>
      <c r="F31" s="21" t="n">
        <v>101.54</v>
      </c>
      <c r="G31" s="21" t="n">
        <v>225</v>
      </c>
      <c r="H31" s="21" t="n">
        <v>500</v>
      </c>
      <c r="I31" s="21" t="n">
        <v>875</v>
      </c>
      <c r="J31" s="22" t="n">
        <f aca="false">F31*G31</f>
        <v>22846.5</v>
      </c>
      <c r="K31" s="22" t="n">
        <f aca="false">F31*H31</f>
        <v>50770</v>
      </c>
      <c r="L31" s="22" t="n">
        <f aca="false">F31*I31</f>
        <v>88847.5</v>
      </c>
      <c r="M31" s="5" t="s">
        <v>371</v>
      </c>
    </row>
    <row r="32" customFormat="false" ht="15" hidden="false" customHeight="false" outlineLevel="0" collapsed="false">
      <c r="A32" s="5" t="s">
        <v>370</v>
      </c>
      <c r="B32" s="5" t="s">
        <v>242</v>
      </c>
      <c r="C32" s="5" t="s">
        <v>186</v>
      </c>
      <c r="D32" s="5" t="s">
        <v>243</v>
      </c>
      <c r="E32" s="5" t="s">
        <v>188</v>
      </c>
      <c r="F32" s="21" t="n">
        <v>42.42</v>
      </c>
      <c r="G32" s="21" t="n">
        <v>225</v>
      </c>
      <c r="H32" s="21" t="n">
        <v>500</v>
      </c>
      <c r="I32" s="21" t="n">
        <v>875</v>
      </c>
      <c r="J32" s="22" t="n">
        <f aca="false">F32*G32</f>
        <v>9544.5</v>
      </c>
      <c r="K32" s="22" t="n">
        <f aca="false">F32*H32</f>
        <v>21210</v>
      </c>
      <c r="L32" s="22" t="n">
        <f aca="false">F32*I32</f>
        <v>37117.5</v>
      </c>
      <c r="M32" s="5" t="s">
        <v>372</v>
      </c>
    </row>
    <row r="33" customFormat="false" ht="15" hidden="false" customHeight="false" outlineLevel="0" collapsed="false">
      <c r="A33" s="5" t="s">
        <v>370</v>
      </c>
      <c r="B33" s="5" t="s">
        <v>245</v>
      </c>
      <c r="C33" s="5" t="s">
        <v>186</v>
      </c>
      <c r="D33" s="5" t="s">
        <v>246</v>
      </c>
      <c r="E33" s="5" t="s">
        <v>188</v>
      </c>
      <c r="F33" s="21" t="n">
        <v>73.2</v>
      </c>
      <c r="G33" s="21" t="n">
        <v>162</v>
      </c>
      <c r="H33" s="21" t="n">
        <v>360</v>
      </c>
      <c r="I33" s="21" t="n">
        <v>630</v>
      </c>
      <c r="J33" s="22" t="n">
        <f aca="false">F33*G33</f>
        <v>11858.4</v>
      </c>
      <c r="K33" s="22" t="n">
        <f aca="false">F33*H33</f>
        <v>26352</v>
      </c>
      <c r="L33" s="22" t="n">
        <f aca="false">F33*I33</f>
        <v>46116</v>
      </c>
      <c r="M33" s="5" t="s">
        <v>373</v>
      </c>
    </row>
    <row r="34" customFormat="false" ht="15" hidden="false" customHeight="false" outlineLevel="0" collapsed="false">
      <c r="A34" s="5" t="s">
        <v>374</v>
      </c>
      <c r="B34" s="5" t="s">
        <v>275</v>
      </c>
      <c r="C34" s="5" t="s">
        <v>186</v>
      </c>
      <c r="D34" s="5" t="s">
        <v>276</v>
      </c>
      <c r="E34" s="5" t="s">
        <v>277</v>
      </c>
      <c r="F34" s="21" t="n">
        <v>1179.17</v>
      </c>
      <c r="G34" s="21" t="n">
        <v>12</v>
      </c>
      <c r="H34" s="21" t="n">
        <v>26.67</v>
      </c>
      <c r="I34" s="21" t="n">
        <v>46.67</v>
      </c>
      <c r="J34" s="22" t="n">
        <f aca="false">F34*G34</f>
        <v>14150.04</v>
      </c>
      <c r="K34" s="22" t="n">
        <f aca="false">F34*H34</f>
        <v>31448.4639</v>
      </c>
      <c r="L34" s="22" t="n">
        <f aca="false">F34*I34</f>
        <v>55031.8639</v>
      </c>
      <c r="M34" s="5" t="s">
        <v>375</v>
      </c>
    </row>
    <row r="35" customFormat="false" ht="15" hidden="false" customHeight="false" outlineLevel="0" collapsed="false">
      <c r="A35" s="5" t="s">
        <v>374</v>
      </c>
      <c r="B35" s="5" t="s">
        <v>272</v>
      </c>
      <c r="C35" s="5" t="s">
        <v>186</v>
      </c>
      <c r="D35" s="5" t="s">
        <v>273</v>
      </c>
      <c r="E35" s="5" t="s">
        <v>188</v>
      </c>
      <c r="F35" s="21" t="n">
        <v>223.25</v>
      </c>
      <c r="G35" s="21" t="n">
        <v>27</v>
      </c>
      <c r="H35" s="21" t="n">
        <v>60</v>
      </c>
      <c r="I35" s="21" t="n">
        <v>105</v>
      </c>
      <c r="J35" s="22" t="n">
        <f aca="false">F35*G35</f>
        <v>6027.75</v>
      </c>
      <c r="K35" s="22" t="n">
        <f aca="false">F35*H35</f>
        <v>13395</v>
      </c>
      <c r="L35" s="22" t="n">
        <f aca="false">F35*I35</f>
        <v>23441.25</v>
      </c>
      <c r="M35" s="5" t="s">
        <v>376</v>
      </c>
    </row>
    <row r="36" customFormat="false" ht="15" hidden="false" customHeight="false" outlineLevel="0" collapsed="false">
      <c r="A36" s="5" t="s">
        <v>377</v>
      </c>
      <c r="B36" s="5" t="s">
        <v>265</v>
      </c>
      <c r="C36" s="5" t="s">
        <v>186</v>
      </c>
      <c r="D36" s="5" t="s">
        <v>266</v>
      </c>
      <c r="E36" s="5" t="s">
        <v>188</v>
      </c>
      <c r="F36" s="21" t="n">
        <v>12.33</v>
      </c>
      <c r="G36" s="21" t="n">
        <v>432</v>
      </c>
      <c r="H36" s="21" t="n">
        <v>960</v>
      </c>
      <c r="I36" s="21" t="n">
        <v>1680</v>
      </c>
      <c r="J36" s="22" t="n">
        <f aca="false">F36*G36</f>
        <v>5326.56</v>
      </c>
      <c r="K36" s="22" t="n">
        <f aca="false">F36*H36</f>
        <v>11836.8</v>
      </c>
      <c r="L36" s="22" t="n">
        <f aca="false">F36*I36</f>
        <v>20714.4</v>
      </c>
      <c r="M36" s="5" t="s">
        <v>378</v>
      </c>
    </row>
    <row r="37" customFormat="false" ht="15" hidden="false" customHeight="false" outlineLevel="0" collapsed="false">
      <c r="A37" s="5" t="s">
        <v>377</v>
      </c>
      <c r="B37" s="5" t="s">
        <v>379</v>
      </c>
      <c r="C37" s="5" t="s">
        <v>186</v>
      </c>
      <c r="D37" s="5" t="s">
        <v>380</v>
      </c>
      <c r="E37" s="5" t="s">
        <v>188</v>
      </c>
      <c r="F37" s="21" t="n">
        <v>23.22</v>
      </c>
      <c r="G37" s="21" t="n">
        <v>108</v>
      </c>
      <c r="H37" s="21" t="n">
        <v>240</v>
      </c>
      <c r="I37" s="21" t="n">
        <v>420</v>
      </c>
      <c r="J37" s="22" t="n">
        <f aca="false">F37*G37</f>
        <v>2507.76</v>
      </c>
      <c r="K37" s="22" t="n">
        <f aca="false">F37*H37</f>
        <v>5572.8</v>
      </c>
      <c r="L37" s="22" t="n">
        <f aca="false">F37*I37</f>
        <v>9752.4</v>
      </c>
      <c r="M37" s="5" t="s">
        <v>381</v>
      </c>
    </row>
    <row r="38" customFormat="false" ht="15" hidden="false" customHeight="false" outlineLevel="0" collapsed="false">
      <c r="A38" s="5" t="s">
        <v>382</v>
      </c>
      <c r="B38" s="5" t="s">
        <v>280</v>
      </c>
      <c r="C38" s="5" t="s">
        <v>186</v>
      </c>
      <c r="D38" s="5" t="s">
        <v>281</v>
      </c>
      <c r="E38" s="5" t="s">
        <v>277</v>
      </c>
      <c r="F38" s="21" t="n">
        <v>53.69</v>
      </c>
      <c r="G38" s="21" t="n">
        <v>30</v>
      </c>
      <c r="H38" s="21" t="n">
        <v>66.67</v>
      </c>
      <c r="I38" s="21" t="n">
        <v>116.67</v>
      </c>
      <c r="J38" s="22" t="n">
        <f aca="false">F38*G38</f>
        <v>1610.7</v>
      </c>
      <c r="K38" s="22" t="n">
        <f aca="false">F38*H38</f>
        <v>3579.5123</v>
      </c>
      <c r="L38" s="22" t="n">
        <f aca="false">F38*I38</f>
        <v>6264.0123</v>
      </c>
      <c r="M38" s="5" t="s">
        <v>383</v>
      </c>
    </row>
    <row r="39" customFormat="false" ht="15" hidden="false" customHeight="false" outlineLevel="0" collapsed="false">
      <c r="A39" s="5" t="s">
        <v>382</v>
      </c>
      <c r="B39" s="5" t="s">
        <v>283</v>
      </c>
      <c r="C39" s="5" t="s">
        <v>186</v>
      </c>
      <c r="D39" s="5" t="s">
        <v>284</v>
      </c>
      <c r="E39" s="5" t="s">
        <v>277</v>
      </c>
      <c r="F39" s="21" t="n">
        <v>30.86</v>
      </c>
      <c r="G39" s="21" t="n">
        <v>22.5</v>
      </c>
      <c r="H39" s="21" t="n">
        <v>50</v>
      </c>
      <c r="I39" s="21" t="n">
        <v>87.5</v>
      </c>
      <c r="J39" s="22" t="n">
        <f aca="false">F39*G39</f>
        <v>694.35</v>
      </c>
      <c r="K39" s="22" t="n">
        <f aca="false">F39*H39</f>
        <v>1543</v>
      </c>
      <c r="L39" s="22" t="n">
        <f aca="false">F39*I39</f>
        <v>2700.25</v>
      </c>
      <c r="M39" s="5" t="s">
        <v>384</v>
      </c>
    </row>
    <row r="40" customFormat="false" ht="15" hidden="false" customHeight="false" outlineLevel="0" collapsed="false">
      <c r="A40" s="5" t="s">
        <v>382</v>
      </c>
      <c r="B40" s="5" t="s">
        <v>286</v>
      </c>
      <c r="C40" s="5" t="s">
        <v>186</v>
      </c>
      <c r="D40" s="5" t="s">
        <v>287</v>
      </c>
      <c r="E40" s="5" t="s">
        <v>194</v>
      </c>
      <c r="F40" s="21" t="n">
        <v>5.48</v>
      </c>
      <c r="G40" s="21" t="n">
        <v>2160</v>
      </c>
      <c r="H40" s="21" t="n">
        <v>4800</v>
      </c>
      <c r="I40" s="21" t="n">
        <v>8400</v>
      </c>
      <c r="J40" s="22" t="n">
        <f aca="false">F40*G40</f>
        <v>11836.8</v>
      </c>
      <c r="K40" s="22" t="n">
        <f aca="false">F40*H40</f>
        <v>26304</v>
      </c>
      <c r="L40" s="22" t="n">
        <f aca="false">F40*I40</f>
        <v>46032</v>
      </c>
      <c r="M40" s="5" t="s">
        <v>385</v>
      </c>
    </row>
    <row r="41" customFormat="false" ht="15" hidden="false" customHeight="false" outlineLevel="0" collapsed="false">
      <c r="A41" s="5" t="s">
        <v>382</v>
      </c>
      <c r="B41" s="5" t="s">
        <v>289</v>
      </c>
      <c r="C41" s="5" t="s">
        <v>186</v>
      </c>
      <c r="D41" s="5" t="s">
        <v>290</v>
      </c>
      <c r="E41" s="5" t="s">
        <v>194</v>
      </c>
      <c r="F41" s="21" t="n">
        <v>11.2</v>
      </c>
      <c r="G41" s="21" t="n">
        <v>720</v>
      </c>
      <c r="H41" s="21" t="n">
        <v>1600</v>
      </c>
      <c r="I41" s="21" t="n">
        <v>2800</v>
      </c>
      <c r="J41" s="22" t="n">
        <f aca="false">F41*G41</f>
        <v>8064</v>
      </c>
      <c r="K41" s="22" t="n">
        <f aca="false">F41*H41</f>
        <v>17920</v>
      </c>
      <c r="L41" s="22" t="n">
        <f aca="false">F41*I41</f>
        <v>31360</v>
      </c>
      <c r="M41" s="5" t="s">
        <v>386</v>
      </c>
    </row>
    <row r="42" customFormat="false" ht="15" hidden="false" customHeight="false" outlineLevel="0" collapsed="false">
      <c r="A42" s="5" t="s">
        <v>387</v>
      </c>
      <c r="B42" s="5" t="s">
        <v>301</v>
      </c>
      <c r="C42" s="5" t="s">
        <v>186</v>
      </c>
      <c r="D42" s="5" t="s">
        <v>302</v>
      </c>
      <c r="E42" s="5" t="s">
        <v>194</v>
      </c>
      <c r="F42" s="21" t="n">
        <v>43.26</v>
      </c>
      <c r="G42" s="21" t="n">
        <v>54</v>
      </c>
      <c r="H42" s="21" t="n">
        <v>120</v>
      </c>
      <c r="I42" s="21" t="n">
        <v>210</v>
      </c>
      <c r="J42" s="22" t="n">
        <f aca="false">F42*G42</f>
        <v>2336.04</v>
      </c>
      <c r="K42" s="22" t="n">
        <f aca="false">F42*H42</f>
        <v>5191.2</v>
      </c>
      <c r="L42" s="22" t="n">
        <f aca="false">F42*I42</f>
        <v>9084.6</v>
      </c>
      <c r="M42" s="5" t="s">
        <v>388</v>
      </c>
    </row>
    <row r="43" customFormat="false" ht="15" hidden="false" customHeight="false" outlineLevel="0" collapsed="false">
      <c r="A43" s="5" t="s">
        <v>382</v>
      </c>
      <c r="B43" s="5" t="s">
        <v>292</v>
      </c>
      <c r="C43" s="5" t="s">
        <v>186</v>
      </c>
      <c r="D43" s="5" t="s">
        <v>293</v>
      </c>
      <c r="E43" s="5" t="s">
        <v>277</v>
      </c>
      <c r="F43" s="21" t="n">
        <v>623.29</v>
      </c>
      <c r="G43" s="21" t="n">
        <v>1.2</v>
      </c>
      <c r="H43" s="21" t="n">
        <v>2.67</v>
      </c>
      <c r="I43" s="21" t="n">
        <v>4.67</v>
      </c>
      <c r="J43" s="22" t="n">
        <f aca="false">F43*G43</f>
        <v>747.948</v>
      </c>
      <c r="K43" s="22" t="n">
        <f aca="false">F43*H43</f>
        <v>1664.1843</v>
      </c>
      <c r="L43" s="22" t="n">
        <f aca="false">F43*I43</f>
        <v>2910.7643</v>
      </c>
      <c r="M43" s="5" t="s">
        <v>389</v>
      </c>
    </row>
    <row r="44" customFormat="false" ht="15" hidden="false" customHeight="false" outlineLevel="0" collapsed="false">
      <c r="A44" s="5" t="s">
        <v>387</v>
      </c>
      <c r="B44" s="5" t="s">
        <v>295</v>
      </c>
      <c r="C44" s="5" t="s">
        <v>186</v>
      </c>
      <c r="D44" s="5" t="s">
        <v>296</v>
      </c>
      <c r="E44" s="5" t="s">
        <v>277</v>
      </c>
      <c r="F44" s="21" t="n">
        <v>630.3</v>
      </c>
      <c r="G44" s="21" t="n">
        <v>4.5</v>
      </c>
      <c r="H44" s="21" t="n">
        <v>10</v>
      </c>
      <c r="I44" s="21" t="n">
        <v>17.5</v>
      </c>
      <c r="J44" s="22" t="n">
        <f aca="false">F44*G44</f>
        <v>2836.35</v>
      </c>
      <c r="K44" s="22" t="n">
        <f aca="false">F44*H44</f>
        <v>6303</v>
      </c>
      <c r="L44" s="22" t="n">
        <f aca="false">F44*I44</f>
        <v>11030.25</v>
      </c>
      <c r="M44" s="5" t="s">
        <v>390</v>
      </c>
    </row>
    <row r="45" customFormat="false" ht="15" hidden="false" customHeight="false" outlineLevel="0" collapsed="false">
      <c r="A45" s="5" t="s">
        <v>387</v>
      </c>
      <c r="B45" s="5" t="s">
        <v>298</v>
      </c>
      <c r="C45" s="5" t="s">
        <v>186</v>
      </c>
      <c r="D45" s="5" t="s">
        <v>299</v>
      </c>
      <c r="E45" s="5" t="s">
        <v>277</v>
      </c>
      <c r="F45" s="21" t="n">
        <v>368.02</v>
      </c>
      <c r="G45" s="21" t="n">
        <v>4.5</v>
      </c>
      <c r="H45" s="21" t="n">
        <v>10</v>
      </c>
      <c r="I45" s="21" t="n">
        <v>17.5</v>
      </c>
      <c r="J45" s="22" t="n">
        <f aca="false">F45*G45</f>
        <v>1656.09</v>
      </c>
      <c r="K45" s="22" t="n">
        <f aca="false">F45*H45</f>
        <v>3680.2</v>
      </c>
      <c r="L45" s="22" t="n">
        <f aca="false">F45*I45</f>
        <v>6440.35</v>
      </c>
      <c r="M45" s="5" t="s">
        <v>391</v>
      </c>
    </row>
    <row r="46" customFormat="false" ht="15" hidden="false" customHeight="false" outlineLevel="0" collapsed="false">
      <c r="A46" s="5" t="s">
        <v>387</v>
      </c>
      <c r="B46" s="5" t="s">
        <v>392</v>
      </c>
      <c r="C46" s="5" t="s">
        <v>186</v>
      </c>
      <c r="D46" s="5" t="s">
        <v>393</v>
      </c>
      <c r="E46" s="5" t="s">
        <v>277</v>
      </c>
      <c r="F46" s="21" t="n">
        <v>852.26</v>
      </c>
      <c r="G46" s="21" t="n">
        <v>1.2</v>
      </c>
      <c r="H46" s="21" t="n">
        <v>2.67</v>
      </c>
      <c r="I46" s="21" t="n">
        <v>4.67</v>
      </c>
      <c r="J46" s="22" t="n">
        <f aca="false">F46*G46</f>
        <v>1022.712</v>
      </c>
      <c r="K46" s="22" t="n">
        <f aca="false">F46*H46</f>
        <v>2275.5342</v>
      </c>
      <c r="L46" s="22" t="n">
        <f aca="false">F46*I46</f>
        <v>3980.0542</v>
      </c>
      <c r="M46" s="5" t="s">
        <v>394</v>
      </c>
    </row>
    <row r="47" customFormat="false" ht="15" hidden="false" customHeight="false" outlineLevel="0" collapsed="false">
      <c r="A47" s="5" t="s">
        <v>387</v>
      </c>
      <c r="B47" s="5" t="s">
        <v>395</v>
      </c>
      <c r="C47" s="5" t="s">
        <v>186</v>
      </c>
      <c r="D47" s="5" t="s">
        <v>396</v>
      </c>
      <c r="E47" s="5" t="s">
        <v>277</v>
      </c>
      <c r="F47" s="21" t="n">
        <v>333.31</v>
      </c>
      <c r="G47" s="21" t="n">
        <v>1</v>
      </c>
      <c r="H47" s="21" t="n">
        <v>1.33</v>
      </c>
      <c r="I47" s="21" t="n">
        <v>2.33</v>
      </c>
      <c r="J47" s="22" t="n">
        <f aca="false">F47*G47</f>
        <v>333.31</v>
      </c>
      <c r="K47" s="22" t="n">
        <f aca="false">F47*H47</f>
        <v>443.3023</v>
      </c>
      <c r="L47" s="22" t="n">
        <f aca="false">F47*I47</f>
        <v>776.6123</v>
      </c>
      <c r="M47" s="5" t="s">
        <v>397</v>
      </c>
    </row>
    <row r="48" customFormat="false" ht="15" hidden="false" customHeight="false" outlineLevel="0" collapsed="false">
      <c r="A48" s="5" t="s">
        <v>398</v>
      </c>
      <c r="B48" s="5" t="s">
        <v>305</v>
      </c>
      <c r="C48" s="5" t="s">
        <v>186</v>
      </c>
      <c r="D48" s="5" t="s">
        <v>306</v>
      </c>
      <c r="E48" s="5" t="s">
        <v>277</v>
      </c>
      <c r="F48" s="21" t="n">
        <v>288.1</v>
      </c>
      <c r="G48" s="21" t="n">
        <v>1.2</v>
      </c>
      <c r="H48" s="21" t="n">
        <v>2.67</v>
      </c>
      <c r="I48" s="21" t="n">
        <v>4.67</v>
      </c>
      <c r="J48" s="22" t="n">
        <f aca="false">F48*G48</f>
        <v>345.72</v>
      </c>
      <c r="K48" s="22" t="n">
        <f aca="false">F48*H48</f>
        <v>769.227</v>
      </c>
      <c r="L48" s="22" t="n">
        <f aca="false">F48*I48</f>
        <v>1345.427</v>
      </c>
      <c r="M48" s="5" t="s">
        <v>399</v>
      </c>
    </row>
    <row r="49" customFormat="false" ht="15" hidden="false" customHeight="false" outlineLevel="0" collapsed="false">
      <c r="A49" s="5" t="s">
        <v>398</v>
      </c>
      <c r="B49" s="5" t="s">
        <v>308</v>
      </c>
      <c r="C49" s="5" t="s">
        <v>186</v>
      </c>
      <c r="D49" s="5" t="s">
        <v>309</v>
      </c>
      <c r="E49" s="5" t="s">
        <v>277</v>
      </c>
      <c r="F49" s="21" t="n">
        <v>17.96</v>
      </c>
      <c r="G49" s="21" t="n">
        <v>3.6</v>
      </c>
      <c r="H49" s="21" t="n">
        <v>8</v>
      </c>
      <c r="I49" s="21" t="n">
        <v>14</v>
      </c>
      <c r="J49" s="22" t="n">
        <f aca="false">F49*G49</f>
        <v>64.656</v>
      </c>
      <c r="K49" s="22" t="n">
        <f aca="false">F49*H49</f>
        <v>143.68</v>
      </c>
      <c r="L49" s="22" t="n">
        <f aca="false">F49*I49</f>
        <v>251.44</v>
      </c>
      <c r="M49" s="5" t="s">
        <v>400</v>
      </c>
    </row>
    <row r="50" customFormat="false" ht="15" hidden="false" customHeight="false" outlineLevel="0" collapsed="false">
      <c r="A50" s="5" t="s">
        <v>398</v>
      </c>
      <c r="B50" s="5" t="s">
        <v>311</v>
      </c>
      <c r="C50" s="5" t="s">
        <v>192</v>
      </c>
      <c r="D50" s="5" t="s">
        <v>312</v>
      </c>
      <c r="E50" s="5" t="s">
        <v>277</v>
      </c>
      <c r="F50" s="21" t="n">
        <v>20.47</v>
      </c>
      <c r="G50" s="21" t="n">
        <v>3.6</v>
      </c>
      <c r="H50" s="21" t="n">
        <v>8</v>
      </c>
      <c r="I50" s="21" t="n">
        <v>14</v>
      </c>
      <c r="J50" s="22" t="n">
        <f aca="false">F50*G50</f>
        <v>73.692</v>
      </c>
      <c r="K50" s="22" t="n">
        <f aca="false">F50*H50</f>
        <v>163.76</v>
      </c>
      <c r="L50" s="22" t="n">
        <f aca="false">F50*I50</f>
        <v>286.58</v>
      </c>
      <c r="M50" s="5" t="s">
        <v>401</v>
      </c>
    </row>
    <row r="51" customFormat="false" ht="15" hidden="false" customHeight="false" outlineLevel="0" collapsed="false">
      <c r="I51" s="7" t="s">
        <v>323</v>
      </c>
      <c r="J51" s="23" t="n">
        <f aca="false">SUM(J17:J50)</f>
        <v>261839.08</v>
      </c>
      <c r="K51" s="23" t="n">
        <f aca="false">SUM(K17:K50)</f>
        <v>581577.224</v>
      </c>
      <c r="L51" s="23" t="n">
        <f aca="false">SUM(L17:L50)</f>
        <v>1017753.484</v>
      </c>
    </row>
    <row r="52" customFormat="false" ht="15" hidden="false" customHeight="false" outlineLevel="0" collapsed="false">
      <c r="I52" s="7" t="s">
        <v>324</v>
      </c>
      <c r="J52" s="24" t="n">
        <f aca="false">PARAMETROS!$B$6</f>
        <v>0.2034</v>
      </c>
      <c r="K52" s="24" t="n">
        <f aca="false">PARAMETROS!$C$6</f>
        <v>0.2212</v>
      </c>
      <c r="L52" s="24" t="n">
        <f aca="false">PARAMETROS!$D$6</f>
        <v>0.25</v>
      </c>
    </row>
    <row r="53" customFormat="false" ht="15" hidden="false" customHeight="false" outlineLevel="0" collapsed="false">
      <c r="I53" s="7" t="s">
        <v>325</v>
      </c>
      <c r="J53" s="24" t="n">
        <f aca="false">PARAMETROS!$B$8</f>
        <v>0.05</v>
      </c>
      <c r="K53" s="24" t="n">
        <f aca="false">PARAMETROS!$C$8</f>
        <v>0.1</v>
      </c>
      <c r="L53" s="24" t="n">
        <f aca="false">PARAMETROS!$D$8</f>
        <v>0.15</v>
      </c>
    </row>
    <row r="54" customFormat="false" ht="15" hidden="false" customHeight="false" outlineLevel="0" collapsed="false">
      <c r="I54" s="7" t="s">
        <v>155</v>
      </c>
      <c r="J54" s="25" t="n">
        <f aca="false">PARAMETROS!$B$9</f>
        <v>1</v>
      </c>
      <c r="K54" s="25" t="n">
        <f aca="false">PARAMETROS!$C$9</f>
        <v>1</v>
      </c>
      <c r="L54" s="25" t="n">
        <f aca="false">PARAMETROS!$D$9</f>
        <v>1.1</v>
      </c>
    </row>
    <row r="55" customFormat="false" ht="15" hidden="false" customHeight="false" outlineLevel="0" collapsed="false">
      <c r="I55" s="7" t="s">
        <v>326</v>
      </c>
      <c r="J55" s="8" t="n">
        <f aca="false">J51*(1+J52)*(1+J53)*J54</f>
        <v>330852.0063156</v>
      </c>
      <c r="K55" s="8" t="n">
        <f aca="false">K51*(1+K52)*(1+K53)*K54</f>
        <v>781244.31654368</v>
      </c>
      <c r="L55" s="8" t="n">
        <f aca="false">L51*(1+L52)*(1+L53)*L54</f>
        <v>1609322.696575</v>
      </c>
    </row>
    <row r="57" customFormat="false" ht="15" hidden="false" customHeight="false" outlineLevel="0" collapsed="false">
      <c r="A57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402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26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28</v>
      </c>
    </row>
    <row r="8" customFormat="false" ht="15" hidden="false" customHeight="false" outlineLevel="0" collapsed="false">
      <c r="A8" s="7" t="s">
        <v>160</v>
      </c>
      <c r="B8" s="10" t="s">
        <v>403</v>
      </c>
    </row>
    <row r="9" customFormat="false" ht="15" hidden="false" customHeight="false" outlineLevel="0" collapsed="false">
      <c r="A9" s="7" t="s">
        <v>9</v>
      </c>
      <c r="B9" s="10" t="s">
        <v>29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404</v>
      </c>
    </row>
    <row r="12" customFormat="false" ht="15" hidden="false" customHeight="false" outlineLevel="0" collapsed="false">
      <c r="A12" s="7" t="s">
        <v>166</v>
      </c>
      <c r="B12" s="20" t="s">
        <v>405</v>
      </c>
    </row>
    <row r="13" customFormat="false" ht="15" hidden="false" customHeight="false" outlineLevel="0" collapsed="false">
      <c r="B13" s="20" t="s">
        <v>406</v>
      </c>
    </row>
    <row r="14" customFormat="false" ht="15" hidden="false" customHeight="false" outlineLevel="0" collapsed="false">
      <c r="B14" s="20" t="s">
        <v>407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408</v>
      </c>
    </row>
    <row r="18" customFormat="false" ht="15" hidden="false" customHeight="false" outlineLevel="0" collapsed="false">
      <c r="A18" s="5" t="s">
        <v>409</v>
      </c>
      <c r="B18" s="5" t="s">
        <v>410</v>
      </c>
      <c r="C18" s="5" t="s">
        <v>186</v>
      </c>
      <c r="D18" s="5" t="s">
        <v>411</v>
      </c>
      <c r="E18" s="5" t="s">
        <v>317</v>
      </c>
      <c r="F18" s="21" t="n">
        <v>10.58</v>
      </c>
      <c r="G18" s="21" t="n">
        <v>4032</v>
      </c>
      <c r="H18" s="21" t="n">
        <v>0</v>
      </c>
      <c r="I18" s="21" t="n">
        <v>0</v>
      </c>
      <c r="J18" s="22" t="n">
        <f aca="false">F18*G18</f>
        <v>42658.56</v>
      </c>
      <c r="K18" s="22" t="n">
        <f aca="false">F18*H18</f>
        <v>0</v>
      </c>
      <c r="L18" s="22" t="n">
        <f aca="false">F18*I18</f>
        <v>0</v>
      </c>
      <c r="M18" s="5" t="s">
        <v>412</v>
      </c>
    </row>
    <row r="19" customFormat="false" ht="15" hidden="false" customHeight="false" outlineLevel="0" collapsed="false">
      <c r="A19" s="5" t="s">
        <v>409</v>
      </c>
      <c r="B19" s="5" t="s">
        <v>413</v>
      </c>
      <c r="C19" s="5" t="s">
        <v>186</v>
      </c>
      <c r="D19" s="5" t="s">
        <v>414</v>
      </c>
      <c r="E19" s="5" t="s">
        <v>194</v>
      </c>
      <c r="F19" s="21" t="n">
        <v>567.96</v>
      </c>
      <c r="G19" s="21" t="n">
        <v>1600</v>
      </c>
      <c r="H19" s="21" t="n">
        <v>0</v>
      </c>
      <c r="I19" s="21" t="n">
        <v>0</v>
      </c>
      <c r="J19" s="22" t="n">
        <f aca="false">F19*G19</f>
        <v>908736</v>
      </c>
      <c r="K19" s="22" t="n">
        <f aca="false">F19*H19</f>
        <v>0</v>
      </c>
      <c r="L19" s="22" t="n">
        <f aca="false">F19*I19</f>
        <v>0</v>
      </c>
      <c r="M19" s="5" t="s">
        <v>415</v>
      </c>
    </row>
    <row r="20" customFormat="false" ht="15" hidden="false" customHeight="false" outlineLevel="0" collapsed="false">
      <c r="A20" s="5" t="s">
        <v>409</v>
      </c>
      <c r="B20" s="5" t="s">
        <v>416</v>
      </c>
      <c r="C20" s="5" t="s">
        <v>186</v>
      </c>
      <c r="D20" s="5" t="s">
        <v>417</v>
      </c>
      <c r="E20" s="5" t="s">
        <v>317</v>
      </c>
      <c r="F20" s="21" t="n">
        <v>20.26</v>
      </c>
      <c r="G20" s="21" t="n">
        <v>3014.12</v>
      </c>
      <c r="H20" s="21" t="n">
        <v>3599.47</v>
      </c>
      <c r="I20" s="21" t="n">
        <v>4212.28</v>
      </c>
      <c r="J20" s="22" t="n">
        <f aca="false">F20*G20</f>
        <v>61066.0712</v>
      </c>
      <c r="K20" s="22" t="n">
        <f aca="false">F20*H20</f>
        <v>72925.2622</v>
      </c>
      <c r="L20" s="22" t="n">
        <f aca="false">F20*I20</f>
        <v>85340.7928</v>
      </c>
      <c r="M20" s="5" t="s">
        <v>418</v>
      </c>
    </row>
    <row r="21" customFormat="false" ht="15" hidden="false" customHeight="false" outlineLevel="0" collapsed="false">
      <c r="A21" s="5" t="s">
        <v>409</v>
      </c>
      <c r="B21" s="5" t="s">
        <v>419</v>
      </c>
      <c r="C21" s="5" t="s">
        <v>186</v>
      </c>
      <c r="D21" s="5" t="s">
        <v>420</v>
      </c>
      <c r="E21" s="5" t="s">
        <v>277</v>
      </c>
      <c r="F21" s="21" t="n">
        <v>2008.56</v>
      </c>
      <c r="G21" s="21" t="n">
        <v>41</v>
      </c>
      <c r="H21" s="21" t="n">
        <v>0</v>
      </c>
      <c r="I21" s="21" t="n">
        <v>0</v>
      </c>
      <c r="J21" s="22" t="n">
        <f aca="false">F21*G21</f>
        <v>82350.96</v>
      </c>
      <c r="K21" s="22" t="n">
        <f aca="false">F21*H21</f>
        <v>0</v>
      </c>
      <c r="L21" s="22" t="n">
        <f aca="false">F21*I21</f>
        <v>0</v>
      </c>
      <c r="M21" s="5" t="s">
        <v>421</v>
      </c>
    </row>
    <row r="22" customFormat="false" ht="15" hidden="false" customHeight="false" outlineLevel="0" collapsed="false">
      <c r="A22" s="5" t="s">
        <v>409</v>
      </c>
      <c r="B22" s="5" t="s">
        <v>422</v>
      </c>
      <c r="C22" s="5" t="s">
        <v>186</v>
      </c>
      <c r="D22" s="5" t="s">
        <v>423</v>
      </c>
      <c r="E22" s="5" t="s">
        <v>194</v>
      </c>
      <c r="F22" s="21" t="n">
        <v>844.48</v>
      </c>
      <c r="G22" s="21" t="n">
        <v>20.5</v>
      </c>
      <c r="H22" s="21" t="n">
        <v>0</v>
      </c>
      <c r="I22" s="21" t="n">
        <v>0</v>
      </c>
      <c r="J22" s="22" t="n">
        <f aca="false">F22*G22</f>
        <v>17311.84</v>
      </c>
      <c r="K22" s="22" t="n">
        <f aca="false">F22*H22</f>
        <v>0</v>
      </c>
      <c r="L22" s="22" t="n">
        <f aca="false">F22*I22</f>
        <v>0</v>
      </c>
      <c r="M22" s="5" t="s">
        <v>424</v>
      </c>
    </row>
    <row r="23" customFormat="false" ht="15" hidden="false" customHeight="false" outlineLevel="0" collapsed="false">
      <c r="A23" s="5" t="s">
        <v>409</v>
      </c>
      <c r="B23" s="5" t="s">
        <v>425</v>
      </c>
      <c r="C23" s="5" t="s">
        <v>186</v>
      </c>
      <c r="D23" s="5" t="s">
        <v>426</v>
      </c>
      <c r="E23" s="5" t="s">
        <v>277</v>
      </c>
      <c r="F23" s="21" t="n">
        <v>1812.94</v>
      </c>
      <c r="G23" s="21" t="n">
        <v>80</v>
      </c>
      <c r="H23" s="21" t="n">
        <v>80</v>
      </c>
      <c r="I23" s="21" t="n">
        <v>80</v>
      </c>
      <c r="J23" s="22" t="n">
        <f aca="false">F23*G23</f>
        <v>145035.2</v>
      </c>
      <c r="K23" s="22" t="n">
        <f aca="false">F23*H23</f>
        <v>145035.2</v>
      </c>
      <c r="L23" s="22" t="n">
        <f aca="false">F23*I23</f>
        <v>145035.2</v>
      </c>
      <c r="M23" s="5" t="s">
        <v>427</v>
      </c>
    </row>
    <row r="24" customFormat="false" ht="15" hidden="false" customHeight="false" outlineLevel="0" collapsed="false">
      <c r="A24" s="5" t="s">
        <v>409</v>
      </c>
      <c r="B24" s="5" t="s">
        <v>428</v>
      </c>
      <c r="C24" s="5" t="s">
        <v>186</v>
      </c>
      <c r="D24" s="5" t="s">
        <v>429</v>
      </c>
      <c r="E24" s="5" t="s">
        <v>194</v>
      </c>
      <c r="F24" s="21" t="n">
        <v>188.74</v>
      </c>
      <c r="G24" s="21" t="n">
        <v>320</v>
      </c>
      <c r="H24" s="21" t="n">
        <v>320</v>
      </c>
      <c r="I24" s="21" t="n">
        <v>320</v>
      </c>
      <c r="J24" s="22" t="n">
        <f aca="false">F24*G24</f>
        <v>60396.8</v>
      </c>
      <c r="K24" s="22" t="n">
        <f aca="false">F24*H24</f>
        <v>60396.8</v>
      </c>
      <c r="L24" s="22" t="n">
        <f aca="false">F24*I24</f>
        <v>60396.8</v>
      </c>
      <c r="M24" s="5" t="s">
        <v>430</v>
      </c>
    </row>
    <row r="25" customFormat="false" ht="15" hidden="false" customHeight="false" outlineLevel="0" collapsed="false">
      <c r="A25" s="5" t="s">
        <v>409</v>
      </c>
      <c r="B25" s="5" t="s">
        <v>315</v>
      </c>
      <c r="C25" s="5" t="s">
        <v>186</v>
      </c>
      <c r="D25" s="5" t="s">
        <v>316</v>
      </c>
      <c r="E25" s="5" t="s">
        <v>317</v>
      </c>
      <c r="F25" s="21" t="n">
        <v>9.88</v>
      </c>
      <c r="G25" s="21" t="n">
        <v>1017.88</v>
      </c>
      <c r="H25" s="21" t="n">
        <v>1520.53</v>
      </c>
      <c r="I25" s="21" t="n">
        <v>2123.72</v>
      </c>
      <c r="J25" s="22" t="n">
        <f aca="false">F25*G25</f>
        <v>10056.6544</v>
      </c>
      <c r="K25" s="22" t="n">
        <f aca="false">F25*H25</f>
        <v>15022.8364</v>
      </c>
      <c r="L25" s="22" t="n">
        <f aca="false">F25*I25</f>
        <v>20982.3536</v>
      </c>
      <c r="M25" s="5" t="s">
        <v>431</v>
      </c>
    </row>
    <row r="26" customFormat="false" ht="15" hidden="false" customHeight="false" outlineLevel="0" collapsed="false">
      <c r="A26" s="5" t="s">
        <v>409</v>
      </c>
      <c r="B26" s="5" t="s">
        <v>319</v>
      </c>
      <c r="C26" s="5" t="s">
        <v>186</v>
      </c>
      <c r="D26" s="5" t="s">
        <v>320</v>
      </c>
      <c r="E26" s="5" t="s">
        <v>321</v>
      </c>
      <c r="F26" s="21" t="n">
        <v>2.83</v>
      </c>
      <c r="G26" s="21" t="n">
        <v>10178.76</v>
      </c>
      <c r="H26" s="21" t="n">
        <v>15205.31</v>
      </c>
      <c r="I26" s="21" t="n">
        <v>21237.17</v>
      </c>
      <c r="J26" s="22" t="n">
        <f aca="false">F26*G26</f>
        <v>28805.8908</v>
      </c>
      <c r="K26" s="22" t="n">
        <f aca="false">F26*H26</f>
        <v>43031.0273</v>
      </c>
      <c r="L26" s="22" t="n">
        <f aca="false">F26*I26</f>
        <v>60101.1911</v>
      </c>
      <c r="M26" s="5" t="s">
        <v>432</v>
      </c>
    </row>
    <row r="27" customFormat="false" ht="15" hidden="false" customHeight="false" outlineLevel="0" collapsed="false">
      <c r="A27" s="5" t="s">
        <v>433</v>
      </c>
      <c r="B27" s="5" t="s">
        <v>434</v>
      </c>
      <c r="C27" s="5" t="s">
        <v>186</v>
      </c>
      <c r="D27" s="5" t="s">
        <v>435</v>
      </c>
      <c r="E27" s="5" t="s">
        <v>317</v>
      </c>
      <c r="F27" s="21" t="n">
        <v>232.27</v>
      </c>
      <c r="G27" s="21" t="n">
        <v>512</v>
      </c>
      <c r="H27" s="21" t="n">
        <v>0</v>
      </c>
      <c r="I27" s="21" t="n">
        <v>0</v>
      </c>
      <c r="J27" s="22" t="n">
        <f aca="false">F27*G27</f>
        <v>118922.24</v>
      </c>
      <c r="K27" s="22" t="n">
        <f aca="false">F27*H27</f>
        <v>0</v>
      </c>
      <c r="L27" s="22" t="n">
        <f aca="false">F27*I27</f>
        <v>0</v>
      </c>
      <c r="M27" s="5" t="s">
        <v>436</v>
      </c>
    </row>
    <row r="28" customFormat="false" ht="15" hidden="false" customHeight="false" outlineLevel="0" collapsed="false">
      <c r="A28" s="5" t="s">
        <v>433</v>
      </c>
      <c r="B28" s="5" t="s">
        <v>437</v>
      </c>
      <c r="C28" s="5" t="s">
        <v>186</v>
      </c>
      <c r="D28" s="5" t="s">
        <v>438</v>
      </c>
      <c r="E28" s="5" t="s">
        <v>317</v>
      </c>
      <c r="F28" s="21" t="n">
        <v>2136.03</v>
      </c>
      <c r="G28" s="21" t="n">
        <v>128</v>
      </c>
      <c r="H28" s="21" t="n">
        <v>144</v>
      </c>
      <c r="I28" s="21" t="n">
        <v>160</v>
      </c>
      <c r="J28" s="22" t="n">
        <f aca="false">F28*G28</f>
        <v>273411.84</v>
      </c>
      <c r="K28" s="22" t="n">
        <f aca="false">F28*H28</f>
        <v>307588.32</v>
      </c>
      <c r="L28" s="22" t="n">
        <f aca="false">F28*I28</f>
        <v>341764.8</v>
      </c>
      <c r="M28" s="5" t="s">
        <v>439</v>
      </c>
    </row>
    <row r="29" customFormat="false" ht="15" hidden="false" customHeight="false" outlineLevel="0" collapsed="false">
      <c r="A29" s="5" t="s">
        <v>409</v>
      </c>
      <c r="B29" s="5" t="s">
        <v>410</v>
      </c>
      <c r="C29" s="5" t="s">
        <v>186</v>
      </c>
      <c r="D29" s="5" t="s">
        <v>411</v>
      </c>
      <c r="E29" s="5" t="s">
        <v>317</v>
      </c>
      <c r="F29" s="21" t="n">
        <v>10.58</v>
      </c>
      <c r="G29" s="21" t="n">
        <v>0</v>
      </c>
      <c r="H29" s="21" t="n">
        <v>5120</v>
      </c>
      <c r="I29" s="21" t="n">
        <v>0</v>
      </c>
      <c r="J29" s="22" t="n">
        <f aca="false">F29*G29</f>
        <v>0</v>
      </c>
      <c r="K29" s="22" t="n">
        <f aca="false">F29*H29</f>
        <v>54169.6</v>
      </c>
      <c r="L29" s="22" t="n">
        <f aca="false">F29*I29</f>
        <v>0</v>
      </c>
      <c r="M29" s="5" t="s">
        <v>440</v>
      </c>
    </row>
    <row r="30" customFormat="false" ht="15" hidden="false" customHeight="false" outlineLevel="0" collapsed="false">
      <c r="A30" s="5" t="s">
        <v>409</v>
      </c>
      <c r="B30" s="5" t="s">
        <v>441</v>
      </c>
      <c r="C30" s="5" t="s">
        <v>186</v>
      </c>
      <c r="D30" s="5" t="s">
        <v>442</v>
      </c>
      <c r="E30" s="5" t="s">
        <v>194</v>
      </c>
      <c r="F30" s="21" t="n">
        <v>677.01</v>
      </c>
      <c r="G30" s="21" t="n">
        <v>0</v>
      </c>
      <c r="H30" s="21" t="n">
        <v>1600</v>
      </c>
      <c r="I30" s="21" t="n">
        <v>0</v>
      </c>
      <c r="J30" s="22" t="n">
        <f aca="false">F30*G30</f>
        <v>0</v>
      </c>
      <c r="K30" s="22" t="n">
        <f aca="false">F30*H30</f>
        <v>1083216</v>
      </c>
      <c r="L30" s="22" t="n">
        <f aca="false">F30*I30</f>
        <v>0</v>
      </c>
      <c r="M30" s="5" t="s">
        <v>443</v>
      </c>
    </row>
    <row r="31" customFormat="false" ht="15" hidden="false" customHeight="false" outlineLevel="0" collapsed="false">
      <c r="A31" s="5" t="s">
        <v>409</v>
      </c>
      <c r="B31" s="5" t="s">
        <v>444</v>
      </c>
      <c r="C31" s="5" t="s">
        <v>186</v>
      </c>
      <c r="D31" s="5" t="s">
        <v>445</v>
      </c>
      <c r="E31" s="5" t="s">
        <v>277</v>
      </c>
      <c r="F31" s="21" t="n">
        <v>3164.91</v>
      </c>
      <c r="G31" s="21" t="n">
        <v>0</v>
      </c>
      <c r="H31" s="21" t="n">
        <v>41</v>
      </c>
      <c r="I31" s="21" t="n">
        <v>41</v>
      </c>
      <c r="J31" s="22" t="n">
        <f aca="false">F31*G31</f>
        <v>0</v>
      </c>
      <c r="K31" s="22" t="n">
        <f aca="false">F31*H31</f>
        <v>129761.31</v>
      </c>
      <c r="L31" s="22" t="n">
        <f aca="false">F31*I31</f>
        <v>129761.31</v>
      </c>
      <c r="M31" s="5" t="s">
        <v>421</v>
      </c>
    </row>
    <row r="32" customFormat="false" ht="15" hidden="false" customHeight="false" outlineLevel="0" collapsed="false">
      <c r="A32" s="5" t="s">
        <v>409</v>
      </c>
      <c r="B32" s="5" t="s">
        <v>446</v>
      </c>
      <c r="C32" s="5" t="s">
        <v>186</v>
      </c>
      <c r="D32" s="5" t="s">
        <v>447</v>
      </c>
      <c r="E32" s="5" t="s">
        <v>194</v>
      </c>
      <c r="F32" s="21" t="n">
        <v>1157.25</v>
      </c>
      <c r="G32" s="21" t="n">
        <v>0</v>
      </c>
      <c r="H32" s="21" t="n">
        <v>20.5</v>
      </c>
      <c r="I32" s="21" t="n">
        <v>20.5</v>
      </c>
      <c r="J32" s="22" t="n">
        <f aca="false">F32*G32</f>
        <v>0</v>
      </c>
      <c r="K32" s="22" t="n">
        <f aca="false">F32*H32</f>
        <v>23723.625</v>
      </c>
      <c r="L32" s="22" t="n">
        <f aca="false">F32*I32</f>
        <v>23723.625</v>
      </c>
      <c r="M32" s="5" t="s">
        <v>424</v>
      </c>
    </row>
    <row r="33" customFormat="false" ht="15" hidden="false" customHeight="false" outlineLevel="0" collapsed="false">
      <c r="A33" s="5" t="s">
        <v>433</v>
      </c>
      <c r="B33" s="5" t="s">
        <v>434</v>
      </c>
      <c r="C33" s="5" t="s">
        <v>186</v>
      </c>
      <c r="D33" s="5" t="s">
        <v>435</v>
      </c>
      <c r="E33" s="5" t="s">
        <v>317</v>
      </c>
      <c r="F33" s="21" t="n">
        <v>232.27</v>
      </c>
      <c r="G33" s="21" t="n">
        <v>0</v>
      </c>
      <c r="H33" s="21" t="n">
        <v>576</v>
      </c>
      <c r="I33" s="21" t="n">
        <v>0</v>
      </c>
      <c r="J33" s="22" t="n">
        <f aca="false">F33*G33</f>
        <v>0</v>
      </c>
      <c r="K33" s="22" t="n">
        <f aca="false">F33*H33</f>
        <v>133787.52</v>
      </c>
      <c r="L33" s="22" t="n">
        <f aca="false">F33*I33</f>
        <v>0</v>
      </c>
      <c r="M33" s="5" t="s">
        <v>448</v>
      </c>
    </row>
    <row r="34" customFormat="false" ht="15" hidden="false" customHeight="false" outlineLevel="0" collapsed="false">
      <c r="A34" s="5" t="s">
        <v>409</v>
      </c>
      <c r="B34" s="5" t="s">
        <v>410</v>
      </c>
      <c r="C34" s="5" t="s">
        <v>186</v>
      </c>
      <c r="D34" s="5" t="s">
        <v>411</v>
      </c>
      <c r="E34" s="5" t="s">
        <v>317</v>
      </c>
      <c r="F34" s="21" t="n">
        <v>10.58</v>
      </c>
      <c r="G34" s="21" t="n">
        <v>0</v>
      </c>
      <c r="H34" s="21" t="n">
        <v>0</v>
      </c>
      <c r="I34" s="21" t="n">
        <v>6336</v>
      </c>
      <c r="J34" s="22" t="n">
        <f aca="false">F34*G34</f>
        <v>0</v>
      </c>
      <c r="K34" s="22" t="n">
        <f aca="false">F34*H34</f>
        <v>0</v>
      </c>
      <c r="L34" s="22" t="n">
        <f aca="false">F34*I34</f>
        <v>67034.88</v>
      </c>
      <c r="M34" s="5" t="s">
        <v>449</v>
      </c>
    </row>
    <row r="35" customFormat="false" ht="15" hidden="false" customHeight="false" outlineLevel="0" collapsed="false">
      <c r="A35" s="5" t="s">
        <v>409</v>
      </c>
      <c r="B35" s="5" t="s">
        <v>450</v>
      </c>
      <c r="C35" s="5" t="s">
        <v>186</v>
      </c>
      <c r="D35" s="5" t="s">
        <v>451</v>
      </c>
      <c r="E35" s="5" t="s">
        <v>194</v>
      </c>
      <c r="F35" s="21" t="n">
        <v>981.92</v>
      </c>
      <c r="G35" s="21" t="n">
        <v>0</v>
      </c>
      <c r="H35" s="21" t="n">
        <v>0</v>
      </c>
      <c r="I35" s="21" t="n">
        <v>1600</v>
      </c>
      <c r="J35" s="22" t="n">
        <f aca="false">F35*G35</f>
        <v>0</v>
      </c>
      <c r="K35" s="22" t="n">
        <f aca="false">F35*H35</f>
        <v>0</v>
      </c>
      <c r="L35" s="22" t="n">
        <f aca="false">F35*I35</f>
        <v>1571072</v>
      </c>
      <c r="M35" s="5" t="s">
        <v>452</v>
      </c>
    </row>
    <row r="36" customFormat="false" ht="15" hidden="false" customHeight="false" outlineLevel="0" collapsed="false">
      <c r="A36" s="5" t="s">
        <v>433</v>
      </c>
      <c r="B36" s="5" t="s">
        <v>434</v>
      </c>
      <c r="C36" s="5" t="s">
        <v>186</v>
      </c>
      <c r="D36" s="5" t="s">
        <v>435</v>
      </c>
      <c r="E36" s="5" t="s">
        <v>317</v>
      </c>
      <c r="F36" s="21" t="n">
        <v>232.27</v>
      </c>
      <c r="G36" s="21" t="n">
        <v>0</v>
      </c>
      <c r="H36" s="21" t="n">
        <v>0</v>
      </c>
      <c r="I36" s="21" t="n">
        <v>640</v>
      </c>
      <c r="J36" s="22" t="n">
        <f aca="false">F36*G36</f>
        <v>0</v>
      </c>
      <c r="K36" s="22" t="n">
        <f aca="false">F36*H36</f>
        <v>0</v>
      </c>
      <c r="L36" s="22" t="n">
        <f aca="false">F36*I36</f>
        <v>148652.8</v>
      </c>
      <c r="M36" s="5" t="s">
        <v>453</v>
      </c>
    </row>
    <row r="37" customFormat="false" ht="15" hidden="false" customHeight="false" outlineLevel="0" collapsed="false">
      <c r="I37" s="7" t="s">
        <v>323</v>
      </c>
      <c r="J37" s="23" t="n">
        <f aca="false">SUM(J17:J36)</f>
        <v>1751481.8764</v>
      </c>
      <c r="K37" s="23" t="n">
        <f aca="false">SUM(K17:K36)</f>
        <v>2071387.3209</v>
      </c>
      <c r="L37" s="23" t="n">
        <f aca="false">SUM(L17:L36)</f>
        <v>2656595.5725</v>
      </c>
    </row>
    <row r="38" customFormat="false" ht="15" hidden="false" customHeight="false" outlineLevel="0" collapsed="false">
      <c r="I38" s="7" t="s">
        <v>324</v>
      </c>
      <c r="J38" s="24" t="n">
        <f aca="false">PARAMETROS!$B$7</f>
        <v>0.196</v>
      </c>
      <c r="K38" s="24" t="n">
        <f aca="false">PARAMETROS!$C$7</f>
        <v>0.2097</v>
      </c>
      <c r="L38" s="24" t="n">
        <f aca="false">PARAMETROS!$D$7</f>
        <v>0.2423</v>
      </c>
    </row>
    <row r="39" customFormat="false" ht="15" hidden="false" customHeight="false" outlineLevel="0" collapsed="false">
      <c r="I39" s="7" t="s">
        <v>325</v>
      </c>
      <c r="J39" s="24" t="n">
        <f aca="false">PARAMETROS!$B$8</f>
        <v>0.05</v>
      </c>
      <c r="K39" s="24" t="n">
        <f aca="false">PARAMETROS!$C$8</f>
        <v>0.1</v>
      </c>
      <c r="L39" s="24" t="n">
        <f aca="false">PARAMETROS!$D$8</f>
        <v>0.15</v>
      </c>
    </row>
    <row r="40" customFormat="false" ht="15" hidden="false" customHeight="false" outlineLevel="0" collapsed="false">
      <c r="I40" s="7" t="s">
        <v>155</v>
      </c>
      <c r="J40" s="25" t="n">
        <f aca="false">PARAMETROS!$B$9</f>
        <v>1</v>
      </c>
      <c r="K40" s="25" t="n">
        <f aca="false">PARAMETROS!$C$9</f>
        <v>1</v>
      </c>
      <c r="L40" s="25" t="n">
        <f aca="false">PARAMETROS!$D$9</f>
        <v>1.1</v>
      </c>
    </row>
    <row r="41" customFormat="false" ht="15" hidden="false" customHeight="false" outlineLevel="0" collapsed="false">
      <c r="I41" s="7" t="s">
        <v>326</v>
      </c>
      <c r="J41" s="8" t="n">
        <f aca="false">J37*(1+J38)*(1+J39)*J40</f>
        <v>2199510.94038312</v>
      </c>
      <c r="K41" s="8" t="n">
        <f aca="false">K37*(1+K38)*(1+K39)*K40</f>
        <v>2756332.966302</v>
      </c>
      <c r="L41" s="8" t="n">
        <f aca="false">L37*(1+L38)*(1+L39)*L40</f>
        <v>4174865.17984169</v>
      </c>
    </row>
    <row r="43" customFormat="false" ht="15" hidden="false" customHeight="false" outlineLevel="0" collapsed="false">
      <c r="A43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5" topLeftCell="E16" activePane="bottomRight" state="frozen"/>
      <selection pane="topLeft" activeCell="A1" activeCellId="0" sqref="A1"/>
      <selection pane="topRight" activeCell="E1" activeCellId="0" sqref="E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454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31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18</v>
      </c>
    </row>
    <row r="8" customFormat="false" ht="15" hidden="false" customHeight="false" outlineLevel="0" collapsed="false">
      <c r="A8" s="7" t="s">
        <v>160</v>
      </c>
      <c r="B8" s="10" t="s">
        <v>455</v>
      </c>
    </row>
    <row r="9" customFormat="false" ht="15" hidden="false" customHeight="false" outlineLevel="0" collapsed="false">
      <c r="A9" s="7" t="s">
        <v>9</v>
      </c>
      <c r="B9" s="10" t="s">
        <v>33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456</v>
      </c>
    </row>
    <row r="13" customFormat="false" ht="15" hidden="false" customHeight="false" outlineLevel="0" collapsed="false">
      <c r="B13" s="20" t="s">
        <v>457</v>
      </c>
    </row>
    <row r="15" customFormat="false" ht="23.85" hidden="false" customHeight="false" outlineLevel="0" collapsed="false">
      <c r="A15" s="4" t="s">
        <v>171</v>
      </c>
      <c r="B15" s="4" t="s">
        <v>172</v>
      </c>
      <c r="C15" s="4" t="s">
        <v>173</v>
      </c>
      <c r="D15" s="4" t="s">
        <v>174</v>
      </c>
      <c r="E15" s="4" t="s">
        <v>175</v>
      </c>
      <c r="F15" s="4" t="s">
        <v>176</v>
      </c>
      <c r="G15" s="4" t="s">
        <v>177</v>
      </c>
      <c r="H15" s="4" t="s">
        <v>178</v>
      </c>
      <c r="I15" s="4" t="s">
        <v>179</v>
      </c>
      <c r="J15" s="4" t="s">
        <v>180</v>
      </c>
      <c r="K15" s="4" t="s">
        <v>181</v>
      </c>
      <c r="L15" s="4" t="s">
        <v>182</v>
      </c>
      <c r="M15" s="4" t="s">
        <v>183</v>
      </c>
    </row>
    <row r="16" customFormat="false" ht="15" hidden="false" customHeight="false" outlineLevel="0" collapsed="false">
      <c r="A16" s="5" t="s">
        <v>458</v>
      </c>
      <c r="B16" s="5" t="s">
        <v>352</v>
      </c>
      <c r="C16" s="5" t="s">
        <v>186</v>
      </c>
      <c r="D16" s="5" t="s">
        <v>353</v>
      </c>
      <c r="E16" s="5" t="s">
        <v>188</v>
      </c>
      <c r="F16" s="21" t="n">
        <v>119.54</v>
      </c>
      <c r="G16" s="21" t="n">
        <v>7</v>
      </c>
      <c r="H16" s="21" t="n">
        <v>10</v>
      </c>
      <c r="I16" s="21" t="n">
        <v>14</v>
      </c>
      <c r="J16" s="22" t="n">
        <f aca="false">F16*G16</f>
        <v>836.78</v>
      </c>
      <c r="K16" s="22" t="n">
        <f aca="false">F16*H16</f>
        <v>1195.4</v>
      </c>
      <c r="L16" s="22" t="n">
        <f aca="false">F16*I16</f>
        <v>1673.56</v>
      </c>
      <c r="M16" s="5" t="s">
        <v>459</v>
      </c>
    </row>
    <row r="17" customFormat="false" ht="15" hidden="false" customHeight="false" outlineLevel="0" collapsed="false">
      <c r="A17" s="5" t="s">
        <v>458</v>
      </c>
      <c r="B17" s="5" t="s">
        <v>249</v>
      </c>
      <c r="C17" s="5" t="s">
        <v>186</v>
      </c>
      <c r="D17" s="5" t="s">
        <v>250</v>
      </c>
      <c r="E17" s="5" t="s">
        <v>188</v>
      </c>
      <c r="F17" s="21" t="n">
        <v>6.03</v>
      </c>
      <c r="G17" s="21" t="n">
        <v>14</v>
      </c>
      <c r="H17" s="21" t="n">
        <v>20</v>
      </c>
      <c r="I17" s="21" t="n">
        <v>28</v>
      </c>
      <c r="J17" s="22" t="n">
        <f aca="false">F17*G17</f>
        <v>84.42</v>
      </c>
      <c r="K17" s="22" t="n">
        <f aca="false">F17*H17</f>
        <v>120.6</v>
      </c>
      <c r="L17" s="22" t="n">
        <f aca="false">F17*I17</f>
        <v>168.84</v>
      </c>
      <c r="M17" s="5" t="s">
        <v>460</v>
      </c>
    </row>
    <row r="18" customFormat="false" ht="15" hidden="false" customHeight="false" outlineLevel="0" collapsed="false">
      <c r="A18" s="5" t="s">
        <v>458</v>
      </c>
      <c r="B18" s="5" t="s">
        <v>252</v>
      </c>
      <c r="C18" s="5" t="s">
        <v>186</v>
      </c>
      <c r="D18" s="5" t="s">
        <v>253</v>
      </c>
      <c r="E18" s="5" t="s">
        <v>188</v>
      </c>
      <c r="F18" s="21" t="n">
        <v>31.79</v>
      </c>
      <c r="G18" s="21" t="n">
        <v>14</v>
      </c>
      <c r="H18" s="21" t="n">
        <v>20</v>
      </c>
      <c r="I18" s="21" t="n">
        <v>28</v>
      </c>
      <c r="J18" s="22" t="n">
        <f aca="false">F18*G18</f>
        <v>445.06</v>
      </c>
      <c r="K18" s="22" t="n">
        <f aca="false">F18*H18</f>
        <v>635.8</v>
      </c>
      <c r="L18" s="22" t="n">
        <f aca="false">F18*I18</f>
        <v>890.12</v>
      </c>
      <c r="M18" s="5" t="s">
        <v>461</v>
      </c>
    </row>
    <row r="19" customFormat="false" ht="15" hidden="false" customHeight="false" outlineLevel="0" collapsed="false">
      <c r="A19" s="5" t="s">
        <v>458</v>
      </c>
      <c r="B19" s="5" t="s">
        <v>255</v>
      </c>
      <c r="C19" s="5" t="s">
        <v>186</v>
      </c>
      <c r="D19" s="5" t="s">
        <v>256</v>
      </c>
      <c r="E19" s="5" t="s">
        <v>188</v>
      </c>
      <c r="F19" s="21" t="n">
        <v>59.3</v>
      </c>
      <c r="G19" s="21" t="n">
        <v>12.6</v>
      </c>
      <c r="H19" s="21" t="n">
        <v>18</v>
      </c>
      <c r="I19" s="21" t="n">
        <v>25.2</v>
      </c>
      <c r="J19" s="22" t="n">
        <f aca="false">F19*G19</f>
        <v>747.18</v>
      </c>
      <c r="K19" s="22" t="n">
        <f aca="false">F19*H19</f>
        <v>1067.4</v>
      </c>
      <c r="L19" s="22" t="n">
        <f aca="false">F19*I19</f>
        <v>1494.36</v>
      </c>
      <c r="M19" s="5" t="s">
        <v>462</v>
      </c>
    </row>
    <row r="20" customFormat="false" ht="15" hidden="false" customHeight="false" outlineLevel="0" collapsed="false">
      <c r="A20" s="5" t="s">
        <v>458</v>
      </c>
      <c r="B20" s="5" t="s">
        <v>362</v>
      </c>
      <c r="C20" s="5" t="s">
        <v>186</v>
      </c>
      <c r="D20" s="5" t="s">
        <v>363</v>
      </c>
      <c r="E20" s="5" t="s">
        <v>188</v>
      </c>
      <c r="F20" s="21" t="n">
        <v>48.41</v>
      </c>
      <c r="G20" s="21" t="n">
        <v>2.8</v>
      </c>
      <c r="H20" s="21" t="n">
        <v>4</v>
      </c>
      <c r="I20" s="21" t="n">
        <v>5.6</v>
      </c>
      <c r="J20" s="22" t="n">
        <f aca="false">F20*G20</f>
        <v>135.548</v>
      </c>
      <c r="K20" s="22" t="n">
        <f aca="false">F20*H20</f>
        <v>193.64</v>
      </c>
      <c r="L20" s="22" t="n">
        <f aca="false">F20*I20</f>
        <v>271.096</v>
      </c>
      <c r="M20" s="5" t="s">
        <v>463</v>
      </c>
    </row>
    <row r="21" customFormat="false" ht="15" hidden="false" customHeight="false" outlineLevel="0" collapsed="false">
      <c r="A21" s="5" t="s">
        <v>458</v>
      </c>
      <c r="B21" s="5" t="s">
        <v>258</v>
      </c>
      <c r="C21" s="5" t="s">
        <v>186</v>
      </c>
      <c r="D21" s="5" t="s">
        <v>259</v>
      </c>
      <c r="E21" s="5" t="s">
        <v>188</v>
      </c>
      <c r="F21" s="21" t="n">
        <v>58.19</v>
      </c>
      <c r="G21" s="21" t="n">
        <v>2.8</v>
      </c>
      <c r="H21" s="21" t="n">
        <v>4</v>
      </c>
      <c r="I21" s="21" t="n">
        <v>5.6</v>
      </c>
      <c r="J21" s="22" t="n">
        <f aca="false">F21*G21</f>
        <v>162.932</v>
      </c>
      <c r="K21" s="22" t="n">
        <f aca="false">F21*H21</f>
        <v>232.76</v>
      </c>
      <c r="L21" s="22" t="n">
        <f aca="false">F21*I21</f>
        <v>325.864</v>
      </c>
      <c r="M21" s="5" t="s">
        <v>464</v>
      </c>
    </row>
    <row r="22" customFormat="false" ht="15" hidden="false" customHeight="false" outlineLevel="0" collapsed="false">
      <c r="A22" s="5" t="s">
        <v>458</v>
      </c>
      <c r="B22" s="5" t="s">
        <v>261</v>
      </c>
      <c r="C22" s="5" t="s">
        <v>186</v>
      </c>
      <c r="D22" s="5" t="s">
        <v>262</v>
      </c>
      <c r="E22" s="5" t="s">
        <v>188</v>
      </c>
      <c r="F22" s="21" t="n">
        <v>50.14</v>
      </c>
      <c r="G22" s="21" t="n">
        <v>2.8</v>
      </c>
      <c r="H22" s="21" t="n">
        <v>4</v>
      </c>
      <c r="I22" s="21" t="n">
        <v>5.6</v>
      </c>
      <c r="J22" s="22" t="n">
        <f aca="false">F22*G22</f>
        <v>140.392</v>
      </c>
      <c r="K22" s="22" t="n">
        <f aca="false">F22*H22</f>
        <v>200.56</v>
      </c>
      <c r="L22" s="22" t="n">
        <f aca="false">F22*I22</f>
        <v>280.784</v>
      </c>
      <c r="M22" s="5" t="s">
        <v>366</v>
      </c>
    </row>
    <row r="23" customFormat="false" ht="15" hidden="false" customHeight="false" outlineLevel="0" collapsed="false">
      <c r="A23" s="5" t="s">
        <v>458</v>
      </c>
      <c r="B23" s="5" t="s">
        <v>295</v>
      </c>
      <c r="C23" s="5" t="s">
        <v>186</v>
      </c>
      <c r="D23" s="5" t="s">
        <v>296</v>
      </c>
      <c r="E23" s="5" t="s">
        <v>277</v>
      </c>
      <c r="F23" s="21" t="n">
        <v>630.3</v>
      </c>
      <c r="G23" s="21" t="n">
        <v>1</v>
      </c>
      <c r="H23" s="21" t="n">
        <v>1</v>
      </c>
      <c r="I23" s="21" t="n">
        <v>1</v>
      </c>
      <c r="J23" s="22" t="n">
        <f aca="false">F23*G23</f>
        <v>630.3</v>
      </c>
      <c r="K23" s="22" t="n">
        <f aca="false">F23*H23</f>
        <v>630.3</v>
      </c>
      <c r="L23" s="22" t="n">
        <f aca="false">F23*I23</f>
        <v>630.3</v>
      </c>
      <c r="M23" s="5" t="s">
        <v>465</v>
      </c>
    </row>
    <row r="24" customFormat="false" ht="15" hidden="false" customHeight="false" outlineLevel="0" collapsed="false">
      <c r="A24" s="5" t="s">
        <v>458</v>
      </c>
      <c r="B24" s="5" t="s">
        <v>298</v>
      </c>
      <c r="C24" s="5" t="s">
        <v>186</v>
      </c>
      <c r="D24" s="5" t="s">
        <v>299</v>
      </c>
      <c r="E24" s="5" t="s">
        <v>277</v>
      </c>
      <c r="F24" s="21" t="n">
        <v>368.02</v>
      </c>
      <c r="G24" s="21" t="n">
        <v>1</v>
      </c>
      <c r="H24" s="21" t="n">
        <v>1</v>
      </c>
      <c r="I24" s="21" t="n">
        <v>1</v>
      </c>
      <c r="J24" s="22" t="n">
        <f aca="false">F24*G24</f>
        <v>368.02</v>
      </c>
      <c r="K24" s="22" t="n">
        <f aca="false">F24*H24</f>
        <v>368.02</v>
      </c>
      <c r="L24" s="22" t="n">
        <f aca="false">F24*I24</f>
        <v>368.02</v>
      </c>
      <c r="M24" s="5" t="s">
        <v>466</v>
      </c>
    </row>
    <row r="25" customFormat="false" ht="15" hidden="false" customHeight="false" outlineLevel="0" collapsed="false">
      <c r="A25" s="5" t="s">
        <v>458</v>
      </c>
      <c r="B25" s="5" t="s">
        <v>467</v>
      </c>
      <c r="C25" s="5" t="s">
        <v>186</v>
      </c>
      <c r="D25" s="5" t="s">
        <v>468</v>
      </c>
      <c r="E25" s="5" t="s">
        <v>277</v>
      </c>
      <c r="F25" s="21" t="n">
        <v>168.16</v>
      </c>
      <c r="G25" s="21" t="n">
        <v>1</v>
      </c>
      <c r="H25" s="21" t="n">
        <v>1</v>
      </c>
      <c r="I25" s="21" t="n">
        <v>1</v>
      </c>
      <c r="J25" s="22" t="n">
        <f aca="false">F25*G25</f>
        <v>168.16</v>
      </c>
      <c r="K25" s="22" t="n">
        <f aca="false">F25*H25</f>
        <v>168.16</v>
      </c>
      <c r="L25" s="22" t="n">
        <f aca="false">F25*I25</f>
        <v>168.16</v>
      </c>
      <c r="M25" s="5" t="s">
        <v>469</v>
      </c>
    </row>
    <row r="26" customFormat="false" ht="15" hidden="false" customHeight="false" outlineLevel="0" collapsed="false">
      <c r="A26" s="5" t="s">
        <v>458</v>
      </c>
      <c r="B26" s="5" t="s">
        <v>301</v>
      </c>
      <c r="C26" s="5" t="s">
        <v>186</v>
      </c>
      <c r="D26" s="5" t="s">
        <v>302</v>
      </c>
      <c r="E26" s="5" t="s">
        <v>194</v>
      </c>
      <c r="F26" s="21" t="n">
        <v>43.26</v>
      </c>
      <c r="G26" s="21" t="n">
        <v>4.2</v>
      </c>
      <c r="H26" s="21" t="n">
        <v>6</v>
      </c>
      <c r="I26" s="21" t="n">
        <v>8.4</v>
      </c>
      <c r="J26" s="22" t="n">
        <f aca="false">F26*G26</f>
        <v>181.692</v>
      </c>
      <c r="K26" s="22" t="n">
        <f aca="false">F26*H26</f>
        <v>259.56</v>
      </c>
      <c r="L26" s="22" t="n">
        <f aca="false">F26*I26</f>
        <v>363.384</v>
      </c>
      <c r="M26" s="5" t="s">
        <v>470</v>
      </c>
    </row>
    <row r="27" customFormat="false" ht="15" hidden="false" customHeight="false" outlineLevel="0" collapsed="false">
      <c r="A27" s="5" t="s">
        <v>458</v>
      </c>
      <c r="B27" s="5" t="s">
        <v>280</v>
      </c>
      <c r="C27" s="5" t="s">
        <v>186</v>
      </c>
      <c r="D27" s="5" t="s">
        <v>281</v>
      </c>
      <c r="E27" s="5" t="s">
        <v>277</v>
      </c>
      <c r="F27" s="21" t="n">
        <v>53.69</v>
      </c>
      <c r="G27" s="21" t="n">
        <v>2</v>
      </c>
      <c r="H27" s="21" t="n">
        <v>2</v>
      </c>
      <c r="I27" s="21" t="n">
        <v>2</v>
      </c>
      <c r="J27" s="22" t="n">
        <f aca="false">F27*G27</f>
        <v>107.38</v>
      </c>
      <c r="K27" s="22" t="n">
        <f aca="false">F27*H27</f>
        <v>107.38</v>
      </c>
      <c r="L27" s="22" t="n">
        <f aca="false">F27*I27</f>
        <v>107.38</v>
      </c>
      <c r="M27" s="5" t="s">
        <v>471</v>
      </c>
    </row>
    <row r="28" customFormat="false" ht="15" hidden="false" customHeight="false" outlineLevel="0" collapsed="false">
      <c r="A28" s="5" t="s">
        <v>458</v>
      </c>
      <c r="B28" s="5" t="s">
        <v>283</v>
      </c>
      <c r="C28" s="5" t="s">
        <v>186</v>
      </c>
      <c r="D28" s="5" t="s">
        <v>284</v>
      </c>
      <c r="E28" s="5" t="s">
        <v>277</v>
      </c>
      <c r="F28" s="21" t="n">
        <v>30.86</v>
      </c>
      <c r="G28" s="21" t="n">
        <v>1</v>
      </c>
      <c r="H28" s="21" t="n">
        <v>1</v>
      </c>
      <c r="I28" s="21" t="n">
        <v>1</v>
      </c>
      <c r="J28" s="22" t="n">
        <f aca="false">F28*G28</f>
        <v>30.86</v>
      </c>
      <c r="K28" s="22" t="n">
        <f aca="false">F28*H28</f>
        <v>30.86</v>
      </c>
      <c r="L28" s="22" t="n">
        <f aca="false">F28*I28</f>
        <v>30.86</v>
      </c>
      <c r="M28" s="5" t="s">
        <v>472</v>
      </c>
    </row>
    <row r="29" customFormat="false" ht="15" hidden="false" customHeight="false" outlineLevel="0" collapsed="false">
      <c r="A29" s="5" t="s">
        <v>458</v>
      </c>
      <c r="B29" s="5" t="s">
        <v>473</v>
      </c>
      <c r="C29" s="5" t="s">
        <v>186</v>
      </c>
      <c r="D29" s="5" t="s">
        <v>474</v>
      </c>
      <c r="E29" s="5" t="s">
        <v>277</v>
      </c>
      <c r="F29" s="21" t="n">
        <v>1103.66</v>
      </c>
      <c r="G29" s="21" t="n">
        <v>1</v>
      </c>
      <c r="H29" s="21" t="n">
        <v>1</v>
      </c>
      <c r="I29" s="21" t="n">
        <v>1</v>
      </c>
      <c r="J29" s="22" t="n">
        <f aca="false">F29*G29</f>
        <v>1103.66</v>
      </c>
      <c r="K29" s="22" t="n">
        <f aca="false">F29*H29</f>
        <v>1103.66</v>
      </c>
      <c r="L29" s="22" t="n">
        <f aca="false">F29*I29</f>
        <v>1103.66</v>
      </c>
      <c r="M29" s="5" t="s">
        <v>475</v>
      </c>
    </row>
    <row r="30" customFormat="false" ht="15" hidden="false" customHeight="false" outlineLevel="0" collapsed="false">
      <c r="A30" s="5" t="s">
        <v>458</v>
      </c>
      <c r="B30" s="5" t="s">
        <v>272</v>
      </c>
      <c r="C30" s="5" t="s">
        <v>186</v>
      </c>
      <c r="D30" s="5" t="s">
        <v>273</v>
      </c>
      <c r="E30" s="5" t="s">
        <v>188</v>
      </c>
      <c r="F30" s="21" t="n">
        <v>223.25</v>
      </c>
      <c r="G30" s="21" t="n">
        <v>0.34</v>
      </c>
      <c r="H30" s="21" t="n">
        <v>0.48</v>
      </c>
      <c r="I30" s="21" t="n">
        <v>0.67</v>
      </c>
      <c r="J30" s="22" t="n">
        <f aca="false">F30*G30</f>
        <v>75.905</v>
      </c>
      <c r="K30" s="22" t="n">
        <f aca="false">F30*H30</f>
        <v>107.16</v>
      </c>
      <c r="L30" s="22" t="n">
        <f aca="false">F30*I30</f>
        <v>149.5775</v>
      </c>
      <c r="M30" s="5" t="s">
        <v>476</v>
      </c>
    </row>
    <row r="31" customFormat="false" ht="15" hidden="false" customHeight="false" outlineLevel="0" collapsed="false">
      <c r="A31" s="5" t="s">
        <v>477</v>
      </c>
      <c r="B31" s="5" t="s">
        <v>478</v>
      </c>
      <c r="C31" s="5" t="s">
        <v>186</v>
      </c>
      <c r="D31" s="5" t="s">
        <v>479</v>
      </c>
      <c r="E31" s="5" t="s">
        <v>188</v>
      </c>
      <c r="F31" s="21" t="n">
        <v>581.71</v>
      </c>
      <c r="G31" s="21" t="n">
        <v>2.1</v>
      </c>
      <c r="H31" s="21" t="n">
        <v>2.1</v>
      </c>
      <c r="I31" s="21" t="n">
        <v>2.1</v>
      </c>
      <c r="J31" s="22" t="n">
        <f aca="false">F31*G31</f>
        <v>1221.591</v>
      </c>
      <c r="K31" s="22" t="n">
        <f aca="false">F31*H31</f>
        <v>1221.591</v>
      </c>
      <c r="L31" s="22" t="n">
        <f aca="false">F31*I31</f>
        <v>1221.591</v>
      </c>
      <c r="M31" s="5" t="s">
        <v>480</v>
      </c>
    </row>
    <row r="32" customFormat="false" ht="15" hidden="false" customHeight="false" outlineLevel="0" collapsed="false">
      <c r="A32" s="5" t="s">
        <v>458</v>
      </c>
      <c r="B32" s="5" t="s">
        <v>239</v>
      </c>
      <c r="C32" s="5" t="s">
        <v>186</v>
      </c>
      <c r="D32" s="5" t="s">
        <v>240</v>
      </c>
      <c r="E32" s="5" t="s">
        <v>188</v>
      </c>
      <c r="F32" s="21" t="n">
        <v>101.54</v>
      </c>
      <c r="G32" s="21" t="n">
        <v>0</v>
      </c>
      <c r="H32" s="21" t="n">
        <v>0</v>
      </c>
      <c r="I32" s="21" t="n">
        <v>7</v>
      </c>
      <c r="J32" s="22" t="n">
        <f aca="false">F32*G32</f>
        <v>0</v>
      </c>
      <c r="K32" s="22" t="n">
        <f aca="false">F32*H32</f>
        <v>0</v>
      </c>
      <c r="L32" s="22" t="n">
        <f aca="false">F32*I32</f>
        <v>710.78</v>
      </c>
      <c r="M32" s="5" t="s">
        <v>481</v>
      </c>
    </row>
    <row r="33" customFormat="false" ht="15" hidden="false" customHeight="false" outlineLevel="0" collapsed="false">
      <c r="A33" s="5" t="s">
        <v>458</v>
      </c>
      <c r="B33" s="5" t="s">
        <v>242</v>
      </c>
      <c r="C33" s="5" t="s">
        <v>186</v>
      </c>
      <c r="D33" s="5" t="s">
        <v>243</v>
      </c>
      <c r="E33" s="5" t="s">
        <v>188</v>
      </c>
      <c r="F33" s="21" t="n">
        <v>42.42</v>
      </c>
      <c r="G33" s="21" t="n">
        <v>0</v>
      </c>
      <c r="H33" s="21" t="n">
        <v>0</v>
      </c>
      <c r="I33" s="21" t="n">
        <v>7</v>
      </c>
      <c r="J33" s="22" t="n">
        <f aca="false">F33*G33</f>
        <v>0</v>
      </c>
      <c r="K33" s="22" t="n">
        <f aca="false">F33*H33</f>
        <v>0</v>
      </c>
      <c r="L33" s="22" t="n">
        <f aca="false">F33*I33</f>
        <v>296.94</v>
      </c>
      <c r="M33" s="5" t="s">
        <v>372</v>
      </c>
    </row>
    <row r="34" customFormat="false" ht="15" hidden="false" customHeight="false" outlineLevel="0" collapsed="false">
      <c r="I34" s="7" t="s">
        <v>323</v>
      </c>
      <c r="J34" s="23" t="n">
        <f aca="false">SUM(J16:J33)</f>
        <v>6439.88</v>
      </c>
      <c r="K34" s="23" t="n">
        <f aca="false">SUM(K16:K33)</f>
        <v>7642.851</v>
      </c>
      <c r="L34" s="23" t="n">
        <f aca="false">SUM(L16:L33)</f>
        <v>10255.2765</v>
      </c>
    </row>
    <row r="35" customFormat="false" ht="15" hidden="false" customHeight="false" outlineLevel="0" collapsed="false">
      <c r="I35" s="7" t="s">
        <v>324</v>
      </c>
      <c r="J35" s="24" t="n">
        <f aca="false">PARAMETROS!$B$6</f>
        <v>0.2034</v>
      </c>
      <c r="K35" s="24" t="n">
        <f aca="false">PARAMETROS!$C$6</f>
        <v>0.2212</v>
      </c>
      <c r="L35" s="24" t="n">
        <f aca="false">PARAMETROS!$D$6</f>
        <v>0.25</v>
      </c>
    </row>
    <row r="36" customFormat="false" ht="15" hidden="false" customHeight="false" outlineLevel="0" collapsed="false">
      <c r="I36" s="7" t="s">
        <v>325</v>
      </c>
      <c r="J36" s="24" t="n">
        <f aca="false">PARAMETROS!$B$8</f>
        <v>0.05</v>
      </c>
      <c r="K36" s="24" t="n">
        <f aca="false">PARAMETROS!$C$8</f>
        <v>0.1</v>
      </c>
      <c r="L36" s="24" t="n">
        <f aca="false">PARAMETROS!$D$8</f>
        <v>0.15</v>
      </c>
    </row>
    <row r="37" customFormat="false" ht="15" hidden="false" customHeight="false" outlineLevel="0" collapsed="false">
      <c r="I37" s="7" t="s">
        <v>155</v>
      </c>
      <c r="J37" s="25" t="n">
        <f aca="false">PARAMETROS!$B$9</f>
        <v>1</v>
      </c>
      <c r="K37" s="25" t="n">
        <f aca="false">PARAMETROS!$C$9</f>
        <v>1</v>
      </c>
      <c r="L37" s="25" t="n">
        <f aca="false">PARAMETROS!$D$9</f>
        <v>1.1</v>
      </c>
    </row>
    <row r="38" customFormat="false" ht="15" hidden="false" customHeight="false" outlineLevel="0" collapsed="false">
      <c r="I38" s="7" t="s">
        <v>326</v>
      </c>
      <c r="J38" s="8" t="n">
        <f aca="false">J34*(1+J35)*(1+J36)*J37</f>
        <v>8137.2391716</v>
      </c>
      <c r="K38" s="8" t="n">
        <f aca="false">K34*(1+K35)*(1+K36)*K37</f>
        <v>10266.79460532</v>
      </c>
      <c r="L38" s="8" t="n">
        <f aca="false">L34*(1+L35)*(1+L36)*L37</f>
        <v>16216.155965625</v>
      </c>
    </row>
    <row r="40" customFormat="false" ht="15" hidden="false" customHeight="false" outlineLevel="0" collapsed="false">
      <c r="A40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482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35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28</v>
      </c>
    </row>
    <row r="8" customFormat="false" ht="15" hidden="false" customHeight="false" outlineLevel="0" collapsed="false">
      <c r="A8" s="7" t="s">
        <v>160</v>
      </c>
      <c r="B8" s="10" t="s">
        <v>483</v>
      </c>
    </row>
    <row r="9" customFormat="false" ht="15" hidden="false" customHeight="false" outlineLevel="0" collapsed="false">
      <c r="A9" s="7" t="s">
        <v>9</v>
      </c>
      <c r="B9" s="10" t="s">
        <v>37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404</v>
      </c>
    </row>
    <row r="12" customFormat="false" ht="15" hidden="false" customHeight="false" outlineLevel="0" collapsed="false">
      <c r="A12" s="7" t="s">
        <v>166</v>
      </c>
      <c r="B12" s="20" t="s">
        <v>484</v>
      </c>
    </row>
    <row r="13" customFormat="false" ht="15" hidden="false" customHeight="false" outlineLevel="0" collapsed="false">
      <c r="B13" s="20" t="s">
        <v>485</v>
      </c>
    </row>
    <row r="14" customFormat="false" ht="15" hidden="false" customHeight="false" outlineLevel="0" collapsed="false">
      <c r="B14" s="20" t="s">
        <v>407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408</v>
      </c>
    </row>
    <row r="18" customFormat="false" ht="15" hidden="false" customHeight="false" outlineLevel="0" collapsed="false">
      <c r="A18" s="5" t="s">
        <v>409</v>
      </c>
      <c r="B18" s="5" t="s">
        <v>410</v>
      </c>
      <c r="C18" s="5" t="s">
        <v>186</v>
      </c>
      <c r="D18" s="5" t="s">
        <v>411</v>
      </c>
      <c r="E18" s="5" t="s">
        <v>317</v>
      </c>
      <c r="F18" s="21" t="n">
        <v>10.58</v>
      </c>
      <c r="G18" s="21" t="n">
        <v>96</v>
      </c>
      <c r="H18" s="21" t="n">
        <v>0</v>
      </c>
      <c r="I18" s="21" t="n">
        <v>0</v>
      </c>
      <c r="J18" s="22" t="n">
        <f aca="false">F18*G18</f>
        <v>1015.68</v>
      </c>
      <c r="K18" s="22" t="n">
        <f aca="false">F18*H18</f>
        <v>0</v>
      </c>
      <c r="L18" s="22" t="n">
        <f aca="false">F18*I18</f>
        <v>0</v>
      </c>
      <c r="M18" s="5" t="s">
        <v>486</v>
      </c>
    </row>
    <row r="19" customFormat="false" ht="15" hidden="false" customHeight="false" outlineLevel="0" collapsed="false">
      <c r="A19" s="5" t="s">
        <v>409</v>
      </c>
      <c r="B19" s="5" t="s">
        <v>487</v>
      </c>
      <c r="C19" s="5" t="s">
        <v>186</v>
      </c>
      <c r="D19" s="5" t="s">
        <v>488</v>
      </c>
      <c r="E19" s="5" t="s">
        <v>194</v>
      </c>
      <c r="F19" s="21" t="n">
        <v>351.67</v>
      </c>
      <c r="G19" s="21" t="n">
        <v>50</v>
      </c>
      <c r="H19" s="21" t="n">
        <v>100</v>
      </c>
      <c r="I19" s="21" t="n">
        <v>0</v>
      </c>
      <c r="J19" s="22" t="n">
        <f aca="false">F19*G19</f>
        <v>17583.5</v>
      </c>
      <c r="K19" s="22" t="n">
        <f aca="false">F19*H19</f>
        <v>35167</v>
      </c>
      <c r="L19" s="22" t="n">
        <f aca="false">F19*I19</f>
        <v>0</v>
      </c>
      <c r="M19" s="5" t="s">
        <v>489</v>
      </c>
    </row>
    <row r="20" customFormat="false" ht="15" hidden="false" customHeight="false" outlineLevel="0" collapsed="false">
      <c r="A20" s="5" t="s">
        <v>409</v>
      </c>
      <c r="B20" s="5" t="s">
        <v>416</v>
      </c>
      <c r="C20" s="5" t="s">
        <v>186</v>
      </c>
      <c r="D20" s="5" t="s">
        <v>417</v>
      </c>
      <c r="E20" s="5" t="s">
        <v>317</v>
      </c>
      <c r="F20" s="21" t="n">
        <v>20.26</v>
      </c>
      <c r="G20" s="21" t="n">
        <v>76.76</v>
      </c>
      <c r="H20" s="21" t="n">
        <v>153.52</v>
      </c>
      <c r="I20" s="21" t="n">
        <v>376.77</v>
      </c>
      <c r="J20" s="22" t="n">
        <f aca="false">F20*G20</f>
        <v>1555.1576</v>
      </c>
      <c r="K20" s="22" t="n">
        <f aca="false">F20*H20</f>
        <v>3110.3152</v>
      </c>
      <c r="L20" s="22" t="n">
        <f aca="false">F20*I20</f>
        <v>7633.3602</v>
      </c>
      <c r="M20" s="5" t="s">
        <v>418</v>
      </c>
    </row>
    <row r="21" customFormat="false" ht="15" hidden="false" customHeight="false" outlineLevel="0" collapsed="false">
      <c r="A21" s="5" t="s">
        <v>409</v>
      </c>
      <c r="B21" s="5" t="s">
        <v>490</v>
      </c>
      <c r="C21" s="5" t="s">
        <v>186</v>
      </c>
      <c r="D21" s="5" t="s">
        <v>491</v>
      </c>
      <c r="E21" s="5" t="s">
        <v>277</v>
      </c>
      <c r="F21" s="21" t="n">
        <v>1613.82</v>
      </c>
      <c r="G21" s="21" t="n">
        <v>3</v>
      </c>
      <c r="H21" s="21" t="n">
        <v>4</v>
      </c>
      <c r="I21" s="21" t="n">
        <v>0</v>
      </c>
      <c r="J21" s="22" t="n">
        <f aca="false">F21*G21</f>
        <v>4841.46</v>
      </c>
      <c r="K21" s="22" t="n">
        <f aca="false">F21*H21</f>
        <v>6455.28</v>
      </c>
      <c r="L21" s="22" t="n">
        <f aca="false">F21*I21</f>
        <v>0</v>
      </c>
      <c r="M21" s="5" t="s">
        <v>421</v>
      </c>
    </row>
    <row r="22" customFormat="false" ht="15" hidden="false" customHeight="false" outlineLevel="0" collapsed="false">
      <c r="A22" s="5" t="s">
        <v>409</v>
      </c>
      <c r="B22" s="5" t="s">
        <v>492</v>
      </c>
      <c r="C22" s="5" t="s">
        <v>186</v>
      </c>
      <c r="D22" s="5" t="s">
        <v>493</v>
      </c>
      <c r="E22" s="5" t="s">
        <v>194</v>
      </c>
      <c r="F22" s="21" t="n">
        <v>634.89</v>
      </c>
      <c r="G22" s="21" t="n">
        <v>1.5</v>
      </c>
      <c r="H22" s="21" t="n">
        <v>2</v>
      </c>
      <c r="I22" s="21" t="n">
        <v>0</v>
      </c>
      <c r="J22" s="22" t="n">
        <f aca="false">F22*G22</f>
        <v>952.335</v>
      </c>
      <c r="K22" s="22" t="n">
        <f aca="false">F22*H22</f>
        <v>1269.78</v>
      </c>
      <c r="L22" s="22" t="n">
        <f aca="false">F22*I22</f>
        <v>0</v>
      </c>
      <c r="M22" s="5" t="s">
        <v>424</v>
      </c>
    </row>
    <row r="23" customFormat="false" ht="15" hidden="false" customHeight="false" outlineLevel="0" collapsed="false">
      <c r="A23" s="5" t="s">
        <v>409</v>
      </c>
      <c r="B23" s="5" t="s">
        <v>425</v>
      </c>
      <c r="C23" s="5" t="s">
        <v>186</v>
      </c>
      <c r="D23" s="5" t="s">
        <v>426</v>
      </c>
      <c r="E23" s="5" t="s">
        <v>277</v>
      </c>
      <c r="F23" s="21" t="n">
        <v>1812.94</v>
      </c>
      <c r="G23" s="21" t="n">
        <v>4</v>
      </c>
      <c r="H23" s="21" t="n">
        <v>6</v>
      </c>
      <c r="I23" s="21" t="n">
        <v>10</v>
      </c>
      <c r="J23" s="22" t="n">
        <f aca="false">F23*G23</f>
        <v>7251.76</v>
      </c>
      <c r="K23" s="22" t="n">
        <f aca="false">F23*H23</f>
        <v>10877.64</v>
      </c>
      <c r="L23" s="22" t="n">
        <f aca="false">F23*I23</f>
        <v>18129.4</v>
      </c>
      <c r="M23" s="5" t="s">
        <v>427</v>
      </c>
    </row>
    <row r="24" customFormat="false" ht="15" hidden="false" customHeight="false" outlineLevel="0" collapsed="false">
      <c r="A24" s="5" t="s">
        <v>409</v>
      </c>
      <c r="B24" s="5" t="s">
        <v>428</v>
      </c>
      <c r="C24" s="5" t="s">
        <v>186</v>
      </c>
      <c r="D24" s="5" t="s">
        <v>429</v>
      </c>
      <c r="E24" s="5" t="s">
        <v>194</v>
      </c>
      <c r="F24" s="21" t="n">
        <v>188.74</v>
      </c>
      <c r="G24" s="21" t="n">
        <v>16</v>
      </c>
      <c r="H24" s="21" t="n">
        <v>24</v>
      </c>
      <c r="I24" s="21" t="n">
        <v>40</v>
      </c>
      <c r="J24" s="22" t="n">
        <f aca="false">F24*G24</f>
        <v>3019.84</v>
      </c>
      <c r="K24" s="22" t="n">
        <f aca="false">F24*H24</f>
        <v>4529.76</v>
      </c>
      <c r="L24" s="22" t="n">
        <f aca="false">F24*I24</f>
        <v>7549.6</v>
      </c>
      <c r="M24" s="5" t="s">
        <v>430</v>
      </c>
    </row>
    <row r="25" customFormat="false" ht="15" hidden="false" customHeight="false" outlineLevel="0" collapsed="false">
      <c r="A25" s="5" t="s">
        <v>409</v>
      </c>
      <c r="B25" s="5" t="s">
        <v>315</v>
      </c>
      <c r="C25" s="5" t="s">
        <v>186</v>
      </c>
      <c r="D25" s="5" t="s">
        <v>316</v>
      </c>
      <c r="E25" s="5" t="s">
        <v>317</v>
      </c>
      <c r="F25" s="21" t="n">
        <v>9.88</v>
      </c>
      <c r="G25" s="21" t="n">
        <v>19.24</v>
      </c>
      <c r="H25" s="21" t="n">
        <v>38.48</v>
      </c>
      <c r="I25" s="21" t="n">
        <v>127.23</v>
      </c>
      <c r="J25" s="22" t="n">
        <f aca="false">F25*G25</f>
        <v>190.0912</v>
      </c>
      <c r="K25" s="22" t="n">
        <f aca="false">F25*H25</f>
        <v>380.1824</v>
      </c>
      <c r="L25" s="22" t="n">
        <f aca="false">F25*I25</f>
        <v>1257.0324</v>
      </c>
      <c r="M25" s="5" t="s">
        <v>431</v>
      </c>
    </row>
    <row r="26" customFormat="false" ht="15" hidden="false" customHeight="false" outlineLevel="0" collapsed="false">
      <c r="A26" s="5" t="s">
        <v>409</v>
      </c>
      <c r="B26" s="5" t="s">
        <v>319</v>
      </c>
      <c r="C26" s="5" t="s">
        <v>186</v>
      </c>
      <c r="D26" s="5" t="s">
        <v>320</v>
      </c>
      <c r="E26" s="5" t="s">
        <v>321</v>
      </c>
      <c r="F26" s="21" t="n">
        <v>2.83</v>
      </c>
      <c r="G26" s="21" t="n">
        <v>192.42</v>
      </c>
      <c r="H26" s="21" t="n">
        <v>384.85</v>
      </c>
      <c r="I26" s="21" t="n">
        <v>1272.35</v>
      </c>
      <c r="J26" s="22" t="n">
        <f aca="false">F26*G26</f>
        <v>544.5486</v>
      </c>
      <c r="K26" s="22" t="n">
        <f aca="false">F26*H26</f>
        <v>1089.1255</v>
      </c>
      <c r="L26" s="22" t="n">
        <f aca="false">F26*I26</f>
        <v>3600.7505</v>
      </c>
      <c r="M26" s="5" t="s">
        <v>432</v>
      </c>
    </row>
    <row r="27" customFormat="false" ht="15" hidden="false" customHeight="false" outlineLevel="0" collapsed="false">
      <c r="A27" s="5" t="s">
        <v>433</v>
      </c>
      <c r="B27" s="5" t="s">
        <v>434</v>
      </c>
      <c r="C27" s="5" t="s">
        <v>186</v>
      </c>
      <c r="D27" s="5" t="s">
        <v>435</v>
      </c>
      <c r="E27" s="5" t="s">
        <v>317</v>
      </c>
      <c r="F27" s="21" t="n">
        <v>232.27</v>
      </c>
      <c r="G27" s="21" t="n">
        <v>14</v>
      </c>
      <c r="H27" s="21" t="n">
        <v>28</v>
      </c>
      <c r="I27" s="21" t="n">
        <v>0</v>
      </c>
      <c r="J27" s="22" t="n">
        <f aca="false">F27*G27</f>
        <v>3251.78</v>
      </c>
      <c r="K27" s="22" t="n">
        <f aca="false">F27*H27</f>
        <v>6503.56</v>
      </c>
      <c r="L27" s="22" t="n">
        <f aca="false">F27*I27</f>
        <v>0</v>
      </c>
      <c r="M27" s="5" t="s">
        <v>494</v>
      </c>
    </row>
    <row r="28" customFormat="false" ht="15" hidden="false" customHeight="false" outlineLevel="0" collapsed="false">
      <c r="A28" s="5" t="s">
        <v>433</v>
      </c>
      <c r="B28" s="5" t="s">
        <v>437</v>
      </c>
      <c r="C28" s="5" t="s">
        <v>186</v>
      </c>
      <c r="D28" s="5" t="s">
        <v>438</v>
      </c>
      <c r="E28" s="5" t="s">
        <v>317</v>
      </c>
      <c r="F28" s="21" t="n">
        <v>2136.03</v>
      </c>
      <c r="G28" s="21" t="n">
        <v>3.5</v>
      </c>
      <c r="H28" s="21" t="n">
        <v>7</v>
      </c>
      <c r="I28" s="21" t="n">
        <v>16</v>
      </c>
      <c r="J28" s="22" t="n">
        <f aca="false">F28*G28</f>
        <v>7476.105</v>
      </c>
      <c r="K28" s="22" t="n">
        <f aca="false">F28*H28</f>
        <v>14952.21</v>
      </c>
      <c r="L28" s="22" t="n">
        <f aca="false">F28*I28</f>
        <v>34176.48</v>
      </c>
      <c r="M28" s="5" t="s">
        <v>439</v>
      </c>
    </row>
    <row r="29" customFormat="false" ht="15" hidden="false" customHeight="false" outlineLevel="0" collapsed="false">
      <c r="A29" s="5" t="s">
        <v>409</v>
      </c>
      <c r="B29" s="5" t="s">
        <v>410</v>
      </c>
      <c r="C29" s="5" t="s">
        <v>186</v>
      </c>
      <c r="D29" s="5" t="s">
        <v>411</v>
      </c>
      <c r="E29" s="5" t="s">
        <v>317</v>
      </c>
      <c r="F29" s="21" t="n">
        <v>10.58</v>
      </c>
      <c r="G29" s="21" t="n">
        <v>0</v>
      </c>
      <c r="H29" s="21" t="n">
        <v>192</v>
      </c>
      <c r="I29" s="21" t="n">
        <v>0</v>
      </c>
      <c r="J29" s="22" t="n">
        <f aca="false">F29*G29</f>
        <v>0</v>
      </c>
      <c r="K29" s="22" t="n">
        <f aca="false">F29*H29</f>
        <v>2031.36</v>
      </c>
      <c r="L29" s="22" t="n">
        <f aca="false">F29*I29</f>
        <v>0</v>
      </c>
      <c r="M29" s="5" t="s">
        <v>495</v>
      </c>
    </row>
    <row r="30" customFormat="false" ht="15" hidden="false" customHeight="false" outlineLevel="0" collapsed="false">
      <c r="A30" s="5" t="s">
        <v>409</v>
      </c>
      <c r="B30" s="5" t="s">
        <v>410</v>
      </c>
      <c r="C30" s="5" t="s">
        <v>186</v>
      </c>
      <c r="D30" s="5" t="s">
        <v>411</v>
      </c>
      <c r="E30" s="5" t="s">
        <v>317</v>
      </c>
      <c r="F30" s="21" t="n">
        <v>10.58</v>
      </c>
      <c r="G30" s="21" t="n">
        <v>0</v>
      </c>
      <c r="H30" s="21" t="n">
        <v>0</v>
      </c>
      <c r="I30" s="21" t="n">
        <v>504</v>
      </c>
      <c r="J30" s="22" t="n">
        <f aca="false">F30*G30</f>
        <v>0</v>
      </c>
      <c r="K30" s="22" t="n">
        <f aca="false">F30*H30</f>
        <v>0</v>
      </c>
      <c r="L30" s="22" t="n">
        <f aca="false">F30*I30</f>
        <v>5332.32</v>
      </c>
      <c r="M30" s="5" t="s">
        <v>496</v>
      </c>
    </row>
    <row r="31" customFormat="false" ht="15" hidden="false" customHeight="false" outlineLevel="0" collapsed="false">
      <c r="A31" s="5" t="s">
        <v>409</v>
      </c>
      <c r="B31" s="5" t="s">
        <v>413</v>
      </c>
      <c r="C31" s="5" t="s">
        <v>186</v>
      </c>
      <c r="D31" s="5" t="s">
        <v>414</v>
      </c>
      <c r="E31" s="5" t="s">
        <v>194</v>
      </c>
      <c r="F31" s="21" t="n">
        <v>567.96</v>
      </c>
      <c r="G31" s="21" t="n">
        <v>0</v>
      </c>
      <c r="H31" s="21" t="n">
        <v>0</v>
      </c>
      <c r="I31" s="21" t="n">
        <v>200</v>
      </c>
      <c r="J31" s="22" t="n">
        <f aca="false">F31*G31</f>
        <v>0</v>
      </c>
      <c r="K31" s="22" t="n">
        <f aca="false">F31*H31</f>
        <v>0</v>
      </c>
      <c r="L31" s="22" t="n">
        <f aca="false">F31*I31</f>
        <v>113592</v>
      </c>
      <c r="M31" s="5" t="s">
        <v>415</v>
      </c>
    </row>
    <row r="32" customFormat="false" ht="15" hidden="false" customHeight="false" outlineLevel="0" collapsed="false">
      <c r="A32" s="5" t="s">
        <v>409</v>
      </c>
      <c r="B32" s="5" t="s">
        <v>419</v>
      </c>
      <c r="C32" s="5" t="s">
        <v>186</v>
      </c>
      <c r="D32" s="5" t="s">
        <v>420</v>
      </c>
      <c r="E32" s="5" t="s">
        <v>277</v>
      </c>
      <c r="F32" s="21" t="n">
        <v>2008.56</v>
      </c>
      <c r="G32" s="21" t="n">
        <v>0</v>
      </c>
      <c r="H32" s="21" t="n">
        <v>0</v>
      </c>
      <c r="I32" s="21" t="n">
        <v>6</v>
      </c>
      <c r="J32" s="22" t="n">
        <f aca="false">F32*G32</f>
        <v>0</v>
      </c>
      <c r="K32" s="22" t="n">
        <f aca="false">F32*H32</f>
        <v>0</v>
      </c>
      <c r="L32" s="22" t="n">
        <f aca="false">F32*I32</f>
        <v>12051.36</v>
      </c>
      <c r="M32" s="5" t="s">
        <v>421</v>
      </c>
    </row>
    <row r="33" customFormat="false" ht="15" hidden="false" customHeight="false" outlineLevel="0" collapsed="false">
      <c r="A33" s="5" t="s">
        <v>409</v>
      </c>
      <c r="B33" s="5" t="s">
        <v>422</v>
      </c>
      <c r="C33" s="5" t="s">
        <v>186</v>
      </c>
      <c r="D33" s="5" t="s">
        <v>423</v>
      </c>
      <c r="E33" s="5" t="s">
        <v>194</v>
      </c>
      <c r="F33" s="21" t="n">
        <v>844.48</v>
      </c>
      <c r="G33" s="21" t="n">
        <v>0</v>
      </c>
      <c r="H33" s="21" t="n">
        <v>0</v>
      </c>
      <c r="I33" s="21" t="n">
        <v>3</v>
      </c>
      <c r="J33" s="22" t="n">
        <f aca="false">F33*G33</f>
        <v>0</v>
      </c>
      <c r="K33" s="22" t="n">
        <f aca="false">F33*H33</f>
        <v>0</v>
      </c>
      <c r="L33" s="22" t="n">
        <f aca="false">F33*I33</f>
        <v>2533.44</v>
      </c>
      <c r="M33" s="5" t="s">
        <v>424</v>
      </c>
    </row>
    <row r="34" customFormat="false" ht="15" hidden="false" customHeight="false" outlineLevel="0" collapsed="false">
      <c r="A34" s="5" t="s">
        <v>433</v>
      </c>
      <c r="B34" s="5" t="s">
        <v>434</v>
      </c>
      <c r="C34" s="5" t="s">
        <v>186</v>
      </c>
      <c r="D34" s="5" t="s">
        <v>435</v>
      </c>
      <c r="E34" s="5" t="s">
        <v>317</v>
      </c>
      <c r="F34" s="21" t="n">
        <v>232.27</v>
      </c>
      <c r="G34" s="21" t="n">
        <v>0</v>
      </c>
      <c r="H34" s="21" t="n">
        <v>0</v>
      </c>
      <c r="I34" s="21" t="n">
        <v>64</v>
      </c>
      <c r="J34" s="22" t="n">
        <f aca="false">F34*G34</f>
        <v>0</v>
      </c>
      <c r="K34" s="22" t="n">
        <f aca="false">F34*H34</f>
        <v>0</v>
      </c>
      <c r="L34" s="22" t="n">
        <f aca="false">F34*I34</f>
        <v>14865.28</v>
      </c>
      <c r="M34" s="5" t="s">
        <v>436</v>
      </c>
    </row>
    <row r="35" customFormat="false" ht="15" hidden="false" customHeight="false" outlineLevel="0" collapsed="false">
      <c r="I35" s="7" t="s">
        <v>323</v>
      </c>
      <c r="J35" s="23" t="n">
        <f aca="false">SUM(J17:J34)</f>
        <v>50412.0774</v>
      </c>
      <c r="K35" s="23" t="n">
        <f aca="false">SUM(K17:K34)</f>
        <v>89096.0331</v>
      </c>
      <c r="L35" s="23" t="n">
        <f aca="false">SUM(L17:L34)</f>
        <v>223450.8431</v>
      </c>
    </row>
    <row r="36" customFormat="false" ht="15" hidden="false" customHeight="false" outlineLevel="0" collapsed="false">
      <c r="I36" s="7" t="s">
        <v>324</v>
      </c>
      <c r="J36" s="24" t="n">
        <f aca="false">PARAMETROS!$B$7</f>
        <v>0.196</v>
      </c>
      <c r="K36" s="24" t="n">
        <f aca="false">PARAMETROS!$C$7</f>
        <v>0.2097</v>
      </c>
      <c r="L36" s="24" t="n">
        <f aca="false">PARAMETROS!$D$7</f>
        <v>0.2423</v>
      </c>
    </row>
    <row r="37" customFormat="false" ht="15" hidden="false" customHeight="false" outlineLevel="0" collapsed="false">
      <c r="I37" s="7" t="s">
        <v>325</v>
      </c>
      <c r="J37" s="24" t="n">
        <f aca="false">PARAMETROS!$B$8</f>
        <v>0.05</v>
      </c>
      <c r="K37" s="24" t="n">
        <f aca="false">PARAMETROS!$C$8</f>
        <v>0.1</v>
      </c>
      <c r="L37" s="24" t="n">
        <f aca="false">PARAMETROS!$D$8</f>
        <v>0.15</v>
      </c>
    </row>
    <row r="38" customFormat="false" ht="15" hidden="false" customHeight="false" outlineLevel="0" collapsed="false">
      <c r="I38" s="7" t="s">
        <v>155</v>
      </c>
      <c r="J38" s="25" t="n">
        <f aca="false">PARAMETROS!$B$9</f>
        <v>1</v>
      </c>
      <c r="K38" s="25" t="n">
        <f aca="false">PARAMETROS!$C$9</f>
        <v>1</v>
      </c>
      <c r="L38" s="25" t="n">
        <f aca="false">PARAMETROS!$D$9</f>
        <v>1.1</v>
      </c>
    </row>
    <row r="39" customFormat="false" ht="15" hidden="false" customHeight="false" outlineLevel="0" collapsed="false">
      <c r="I39" s="7" t="s">
        <v>326</v>
      </c>
      <c r="J39" s="8" t="n">
        <f aca="false">J35*(1+J36)*(1+J37)*J38</f>
        <v>63307.48679892</v>
      </c>
      <c r="K39" s="8" t="n">
        <f aca="false">K35*(1+K36)*(1+K37)*K38</f>
        <v>118557.418365177</v>
      </c>
      <c r="L39" s="8" t="n">
        <f aca="false">L35*(1+L36)*(1+L37)*L38</f>
        <v>351155.122714659</v>
      </c>
    </row>
    <row r="41" customFormat="false" ht="15" hidden="false" customHeight="false" outlineLevel="0" collapsed="false">
      <c r="A41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497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39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41</v>
      </c>
    </row>
    <row r="8" customFormat="false" ht="15" hidden="false" customHeight="false" outlineLevel="0" collapsed="false">
      <c r="A8" s="7" t="s">
        <v>160</v>
      </c>
      <c r="B8" s="10" t="s">
        <v>498</v>
      </c>
    </row>
    <row r="9" customFormat="false" ht="15" hidden="false" customHeight="false" outlineLevel="0" collapsed="false">
      <c r="A9" s="7" t="s">
        <v>9</v>
      </c>
      <c r="B9" s="10" t="s">
        <v>42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499</v>
      </c>
    </row>
    <row r="13" customFormat="false" ht="15" hidden="false" customHeight="false" outlineLevel="0" collapsed="false">
      <c r="B13" s="20" t="s">
        <v>500</v>
      </c>
    </row>
    <row r="14" customFormat="false" ht="15" hidden="false" customHeight="false" outlineLevel="0" collapsed="false">
      <c r="B14" s="20" t="s">
        <v>501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218</v>
      </c>
    </row>
    <row r="18" customFormat="false" ht="15" hidden="false" customHeight="false" outlineLevel="0" collapsed="false">
      <c r="A18" s="5" t="s">
        <v>333</v>
      </c>
      <c r="B18" s="5" t="s">
        <v>502</v>
      </c>
      <c r="C18" s="5" t="s">
        <v>186</v>
      </c>
      <c r="D18" s="5" t="s">
        <v>503</v>
      </c>
      <c r="E18" s="5" t="s">
        <v>188</v>
      </c>
      <c r="F18" s="21" t="n">
        <v>0.76</v>
      </c>
      <c r="G18" s="21" t="n">
        <v>900</v>
      </c>
      <c r="H18" s="21" t="n">
        <v>900</v>
      </c>
      <c r="I18" s="21" t="n">
        <v>900</v>
      </c>
      <c r="J18" s="22" t="n">
        <f aca="false">F18*G18</f>
        <v>684</v>
      </c>
      <c r="K18" s="22" t="n">
        <f aca="false">F18*H18</f>
        <v>684</v>
      </c>
      <c r="L18" s="22" t="n">
        <f aca="false">F18*I18</f>
        <v>684</v>
      </c>
      <c r="M18" s="5" t="s">
        <v>504</v>
      </c>
    </row>
    <row r="19" customFormat="false" ht="15" hidden="false" customHeight="false" outlineLevel="0" collapsed="false">
      <c r="A19" s="5" t="s">
        <v>505</v>
      </c>
      <c r="B19" s="5" t="s">
        <v>338</v>
      </c>
      <c r="C19" s="5" t="s">
        <v>186</v>
      </c>
      <c r="D19" s="5" t="s">
        <v>339</v>
      </c>
      <c r="E19" s="5" t="s">
        <v>317</v>
      </c>
      <c r="F19" s="21" t="n">
        <v>103.4</v>
      </c>
      <c r="G19" s="21" t="n">
        <v>30</v>
      </c>
      <c r="H19" s="21" t="n">
        <v>30</v>
      </c>
      <c r="I19" s="21" t="n">
        <v>30</v>
      </c>
      <c r="J19" s="22" t="n">
        <f aca="false">F19*G19</f>
        <v>3102</v>
      </c>
      <c r="K19" s="22" t="n">
        <f aca="false">F19*H19</f>
        <v>3102</v>
      </c>
      <c r="L19" s="22" t="n">
        <f aca="false">F19*I19</f>
        <v>3102</v>
      </c>
      <c r="M19" s="5" t="s">
        <v>506</v>
      </c>
    </row>
    <row r="20" customFormat="false" ht="15" hidden="false" customHeight="false" outlineLevel="0" collapsed="false">
      <c r="A20" s="5" t="s">
        <v>505</v>
      </c>
      <c r="B20" s="5" t="s">
        <v>341</v>
      </c>
      <c r="C20" s="5" t="s">
        <v>186</v>
      </c>
      <c r="D20" s="5" t="s">
        <v>342</v>
      </c>
      <c r="E20" s="5" t="s">
        <v>317</v>
      </c>
      <c r="F20" s="21" t="n">
        <v>828.32</v>
      </c>
      <c r="G20" s="21" t="n">
        <v>15</v>
      </c>
      <c r="H20" s="21" t="n">
        <v>15</v>
      </c>
      <c r="I20" s="21" t="n">
        <v>15</v>
      </c>
      <c r="J20" s="22" t="n">
        <f aca="false">F20*G20</f>
        <v>12424.8</v>
      </c>
      <c r="K20" s="22" t="n">
        <f aca="false">F20*H20</f>
        <v>12424.8</v>
      </c>
      <c r="L20" s="22" t="n">
        <f aca="false">F20*I20</f>
        <v>12424.8</v>
      </c>
      <c r="M20" s="5" t="s">
        <v>507</v>
      </c>
    </row>
    <row r="21" customFormat="false" ht="15" hidden="false" customHeight="false" outlineLevel="0" collapsed="false">
      <c r="A21" s="5" t="s">
        <v>505</v>
      </c>
      <c r="B21" s="5" t="s">
        <v>344</v>
      </c>
      <c r="C21" s="5" t="s">
        <v>186</v>
      </c>
      <c r="D21" s="5" t="s">
        <v>345</v>
      </c>
      <c r="E21" s="5" t="s">
        <v>346</v>
      </c>
      <c r="F21" s="21" t="n">
        <v>10.41</v>
      </c>
      <c r="G21" s="21" t="n">
        <v>1500</v>
      </c>
      <c r="H21" s="21" t="n">
        <v>1500</v>
      </c>
      <c r="I21" s="21" t="n">
        <v>1500</v>
      </c>
      <c r="J21" s="22" t="n">
        <f aca="false">F21*G21</f>
        <v>15615</v>
      </c>
      <c r="K21" s="22" t="n">
        <f aca="false">F21*H21</f>
        <v>15615</v>
      </c>
      <c r="L21" s="22" t="n">
        <f aca="false">F21*I21</f>
        <v>15615</v>
      </c>
      <c r="M21" s="5" t="s">
        <v>508</v>
      </c>
    </row>
    <row r="22" customFormat="false" ht="15" hidden="false" customHeight="false" outlineLevel="0" collapsed="false">
      <c r="A22" s="5" t="s">
        <v>505</v>
      </c>
      <c r="B22" s="5" t="s">
        <v>348</v>
      </c>
      <c r="C22" s="5" t="s">
        <v>186</v>
      </c>
      <c r="D22" s="5" t="s">
        <v>349</v>
      </c>
      <c r="E22" s="5" t="s">
        <v>188</v>
      </c>
      <c r="F22" s="21" t="n">
        <v>122.64</v>
      </c>
      <c r="G22" s="21" t="n">
        <v>120</v>
      </c>
      <c r="H22" s="21" t="n">
        <v>120</v>
      </c>
      <c r="I22" s="21" t="n">
        <v>120</v>
      </c>
      <c r="J22" s="22" t="n">
        <f aca="false">F22*G22</f>
        <v>14716.8</v>
      </c>
      <c r="K22" s="22" t="n">
        <f aca="false">F22*H22</f>
        <v>14716.8</v>
      </c>
      <c r="L22" s="22" t="n">
        <f aca="false">F22*I22</f>
        <v>14716.8</v>
      </c>
      <c r="M22" s="5" t="s">
        <v>509</v>
      </c>
    </row>
    <row r="23" customFormat="false" ht="15" hidden="false" customHeight="false" outlineLevel="0" collapsed="false">
      <c r="A23" s="5" t="s">
        <v>510</v>
      </c>
      <c r="B23" s="5" t="s">
        <v>511</v>
      </c>
      <c r="C23" s="5" t="s">
        <v>186</v>
      </c>
      <c r="D23" s="5" t="s">
        <v>512</v>
      </c>
      <c r="E23" s="5" t="s">
        <v>188</v>
      </c>
      <c r="F23" s="21" t="n">
        <v>3.35</v>
      </c>
      <c r="G23" s="21" t="n">
        <v>640</v>
      </c>
      <c r="H23" s="21" t="n">
        <v>640</v>
      </c>
      <c r="I23" s="21" t="n">
        <v>640</v>
      </c>
      <c r="J23" s="22" t="n">
        <f aca="false">F23*G23</f>
        <v>2144</v>
      </c>
      <c r="K23" s="22" t="n">
        <f aca="false">F23*H23</f>
        <v>2144</v>
      </c>
      <c r="L23" s="22" t="n">
        <f aca="false">F23*I23</f>
        <v>2144</v>
      </c>
      <c r="M23" s="5" t="s">
        <v>513</v>
      </c>
    </row>
    <row r="24" customFormat="false" ht="15" hidden="false" customHeight="false" outlineLevel="0" collapsed="false">
      <c r="A24" s="5" t="s">
        <v>510</v>
      </c>
      <c r="B24" s="5" t="s">
        <v>514</v>
      </c>
      <c r="C24" s="5" t="s">
        <v>186</v>
      </c>
      <c r="D24" s="5" t="s">
        <v>515</v>
      </c>
      <c r="E24" s="5" t="s">
        <v>317</v>
      </c>
      <c r="F24" s="21" t="n">
        <v>216.4</v>
      </c>
      <c r="G24" s="21" t="n">
        <v>64</v>
      </c>
      <c r="H24" s="21" t="n">
        <v>64</v>
      </c>
      <c r="I24" s="21" t="n">
        <v>64</v>
      </c>
      <c r="J24" s="22" t="n">
        <f aca="false">F24*G24</f>
        <v>13849.6</v>
      </c>
      <c r="K24" s="22" t="n">
        <f aca="false">F24*H24</f>
        <v>13849.6</v>
      </c>
      <c r="L24" s="22" t="n">
        <f aca="false">F24*I24</f>
        <v>13849.6</v>
      </c>
      <c r="M24" s="5" t="s">
        <v>516</v>
      </c>
    </row>
    <row r="25" customFormat="false" ht="15" hidden="false" customHeight="false" outlineLevel="0" collapsed="false">
      <c r="A25" s="5" t="s">
        <v>510</v>
      </c>
      <c r="B25" s="5" t="s">
        <v>517</v>
      </c>
      <c r="C25" s="5" t="s">
        <v>186</v>
      </c>
      <c r="D25" s="5" t="s">
        <v>518</v>
      </c>
      <c r="E25" s="5" t="s">
        <v>188</v>
      </c>
      <c r="F25" s="21" t="n">
        <v>103.21</v>
      </c>
      <c r="G25" s="21" t="n">
        <v>640</v>
      </c>
      <c r="H25" s="21" t="n">
        <v>640</v>
      </c>
      <c r="I25" s="21" t="n">
        <v>640</v>
      </c>
      <c r="J25" s="22" t="n">
        <f aca="false">F25*G25</f>
        <v>66054.4</v>
      </c>
      <c r="K25" s="22" t="n">
        <f aca="false">F25*H25</f>
        <v>66054.4</v>
      </c>
      <c r="L25" s="22" t="n">
        <f aca="false">F25*I25</f>
        <v>66054.4</v>
      </c>
      <c r="M25" s="5" t="s">
        <v>519</v>
      </c>
    </row>
    <row r="26" customFormat="false" ht="15" hidden="false" customHeight="false" outlineLevel="0" collapsed="false">
      <c r="A26" s="5" t="s">
        <v>510</v>
      </c>
      <c r="B26" s="5" t="s">
        <v>520</v>
      </c>
      <c r="C26" s="5" t="s">
        <v>186</v>
      </c>
      <c r="D26" s="5" t="s">
        <v>521</v>
      </c>
      <c r="E26" s="5" t="s">
        <v>194</v>
      </c>
      <c r="F26" s="21" t="n">
        <v>12.45</v>
      </c>
      <c r="G26" s="21" t="n">
        <v>250</v>
      </c>
      <c r="H26" s="21" t="n">
        <v>250</v>
      </c>
      <c r="I26" s="21" t="n">
        <v>250</v>
      </c>
      <c r="J26" s="22" t="n">
        <f aca="false">F26*G26</f>
        <v>3112.5</v>
      </c>
      <c r="K26" s="22" t="n">
        <f aca="false">F26*H26</f>
        <v>3112.5</v>
      </c>
      <c r="L26" s="22" t="n">
        <f aca="false">F26*I26</f>
        <v>3112.5</v>
      </c>
      <c r="M26" s="5" t="s">
        <v>522</v>
      </c>
    </row>
    <row r="27" customFormat="false" ht="15" hidden="false" customHeight="false" outlineLevel="0" collapsed="false">
      <c r="A27" s="5" t="s">
        <v>523</v>
      </c>
      <c r="B27" s="5" t="s">
        <v>524</v>
      </c>
      <c r="C27" s="5" t="s">
        <v>186</v>
      </c>
      <c r="D27" s="5" t="s">
        <v>525</v>
      </c>
      <c r="E27" s="5" t="s">
        <v>346</v>
      </c>
      <c r="F27" s="21" t="n">
        <v>13.77</v>
      </c>
      <c r="G27" s="21" t="n">
        <v>13464</v>
      </c>
      <c r="H27" s="21" t="n">
        <v>0</v>
      </c>
      <c r="I27" s="21" t="n">
        <v>0</v>
      </c>
      <c r="J27" s="22" t="n">
        <f aca="false">F27*G27</f>
        <v>185399.28</v>
      </c>
      <c r="K27" s="22" t="n">
        <f aca="false">F27*H27</f>
        <v>0</v>
      </c>
      <c r="L27" s="22" t="n">
        <f aca="false">F27*I27</f>
        <v>0</v>
      </c>
      <c r="M27" s="5" t="s">
        <v>526</v>
      </c>
    </row>
    <row r="28" customFormat="false" ht="15" hidden="false" customHeight="false" outlineLevel="0" collapsed="false">
      <c r="A28" s="5" t="s">
        <v>523</v>
      </c>
      <c r="B28" s="5" t="s">
        <v>527</v>
      </c>
      <c r="C28" s="5" t="s">
        <v>186</v>
      </c>
      <c r="D28" s="5" t="s">
        <v>528</v>
      </c>
      <c r="E28" s="5" t="s">
        <v>188</v>
      </c>
      <c r="F28" s="21" t="n">
        <v>192.73</v>
      </c>
      <c r="G28" s="21" t="n">
        <v>748</v>
      </c>
      <c r="H28" s="21" t="n">
        <v>748</v>
      </c>
      <c r="I28" s="21" t="n">
        <v>748</v>
      </c>
      <c r="J28" s="22" t="n">
        <f aca="false">F28*G28</f>
        <v>144162.04</v>
      </c>
      <c r="K28" s="22" t="n">
        <f aca="false">F28*H28</f>
        <v>144162.04</v>
      </c>
      <c r="L28" s="22" t="n">
        <f aca="false">F28*I28</f>
        <v>144162.04</v>
      </c>
      <c r="M28" s="5" t="s">
        <v>529</v>
      </c>
    </row>
    <row r="29" customFormat="false" ht="15" hidden="false" customHeight="false" outlineLevel="0" collapsed="false">
      <c r="A29" s="5" t="s">
        <v>530</v>
      </c>
      <c r="B29" s="5" t="s">
        <v>531</v>
      </c>
      <c r="C29" s="5" t="s">
        <v>186</v>
      </c>
      <c r="D29" s="5" t="s">
        <v>532</v>
      </c>
      <c r="E29" s="5" t="s">
        <v>188</v>
      </c>
      <c r="F29" s="21" t="n">
        <v>182.11</v>
      </c>
      <c r="G29" s="21" t="n">
        <v>208</v>
      </c>
      <c r="H29" s="21" t="n">
        <v>208</v>
      </c>
      <c r="I29" s="21" t="n">
        <v>208</v>
      </c>
      <c r="J29" s="22" t="n">
        <f aca="false">F29*G29</f>
        <v>37878.88</v>
      </c>
      <c r="K29" s="22" t="n">
        <f aca="false">F29*H29</f>
        <v>37878.88</v>
      </c>
      <c r="L29" s="22" t="n">
        <f aca="false">F29*I29</f>
        <v>37878.88</v>
      </c>
      <c r="M29" s="5" t="s">
        <v>533</v>
      </c>
    </row>
    <row r="30" customFormat="false" ht="15" hidden="false" customHeight="false" outlineLevel="0" collapsed="false">
      <c r="A30" s="5" t="s">
        <v>530</v>
      </c>
      <c r="B30" s="5" t="s">
        <v>534</v>
      </c>
      <c r="C30" s="5" t="s">
        <v>192</v>
      </c>
      <c r="D30" s="5" t="s">
        <v>535</v>
      </c>
      <c r="E30" s="5" t="s">
        <v>277</v>
      </c>
      <c r="F30" s="21" t="n">
        <v>2846.43</v>
      </c>
      <c r="G30" s="21" t="n">
        <v>1</v>
      </c>
      <c r="H30" s="21" t="n">
        <v>1</v>
      </c>
      <c r="I30" s="21" t="n">
        <v>1</v>
      </c>
      <c r="J30" s="22" t="n">
        <f aca="false">F30*G30</f>
        <v>2846.43</v>
      </c>
      <c r="K30" s="22" t="n">
        <f aca="false">F30*H30</f>
        <v>2846.43</v>
      </c>
      <c r="L30" s="22" t="n">
        <f aca="false">F30*I30</f>
        <v>2846.43</v>
      </c>
      <c r="M30" s="5" t="s">
        <v>536</v>
      </c>
    </row>
    <row r="31" customFormat="false" ht="15" hidden="false" customHeight="false" outlineLevel="0" collapsed="false">
      <c r="A31" s="5" t="s">
        <v>530</v>
      </c>
      <c r="B31" s="5" t="s">
        <v>537</v>
      </c>
      <c r="C31" s="5" t="s">
        <v>192</v>
      </c>
      <c r="D31" s="5" t="s">
        <v>538</v>
      </c>
      <c r="E31" s="5" t="s">
        <v>277</v>
      </c>
      <c r="F31" s="21" t="n">
        <v>23.46</v>
      </c>
      <c r="G31" s="21" t="n">
        <v>16</v>
      </c>
      <c r="H31" s="21" t="n">
        <v>16</v>
      </c>
      <c r="I31" s="21" t="n">
        <v>16</v>
      </c>
      <c r="J31" s="22" t="n">
        <f aca="false">F31*G31</f>
        <v>375.36</v>
      </c>
      <c r="K31" s="22" t="n">
        <f aca="false">F31*H31</f>
        <v>375.36</v>
      </c>
      <c r="L31" s="22" t="n">
        <f aca="false">F31*I31</f>
        <v>375.36</v>
      </c>
      <c r="M31" s="5" t="s">
        <v>539</v>
      </c>
    </row>
    <row r="32" customFormat="false" ht="15" hidden="false" customHeight="false" outlineLevel="0" collapsed="false">
      <c r="A32" s="5" t="s">
        <v>523</v>
      </c>
      <c r="B32" s="5" t="s">
        <v>524</v>
      </c>
      <c r="C32" s="5" t="s">
        <v>186</v>
      </c>
      <c r="D32" s="5" t="s">
        <v>525</v>
      </c>
      <c r="E32" s="5" t="s">
        <v>346</v>
      </c>
      <c r="F32" s="21" t="n">
        <v>13.77</v>
      </c>
      <c r="G32" s="21" t="n">
        <v>0</v>
      </c>
      <c r="H32" s="21" t="n">
        <v>18700</v>
      </c>
      <c r="I32" s="21" t="n">
        <v>0</v>
      </c>
      <c r="J32" s="22" t="n">
        <f aca="false">F32*G32</f>
        <v>0</v>
      </c>
      <c r="K32" s="22" t="n">
        <f aca="false">F32*H32</f>
        <v>257499</v>
      </c>
      <c r="L32" s="22" t="n">
        <f aca="false">F32*I32</f>
        <v>0</v>
      </c>
      <c r="M32" s="5" t="s">
        <v>540</v>
      </c>
    </row>
    <row r="33" customFormat="false" ht="15" hidden="false" customHeight="false" outlineLevel="0" collapsed="false">
      <c r="A33" s="5" t="s">
        <v>541</v>
      </c>
      <c r="B33" s="5" t="s">
        <v>334</v>
      </c>
      <c r="C33" s="5" t="s">
        <v>186</v>
      </c>
      <c r="D33" s="5" t="s">
        <v>335</v>
      </c>
      <c r="E33" s="5" t="s">
        <v>194</v>
      </c>
      <c r="F33" s="21" t="n">
        <v>75.94</v>
      </c>
      <c r="G33" s="21" t="n">
        <v>0</v>
      </c>
      <c r="H33" s="21" t="n">
        <v>10</v>
      </c>
      <c r="I33" s="21" t="n">
        <v>15</v>
      </c>
      <c r="J33" s="22" t="n">
        <f aca="false">F33*G33</f>
        <v>0</v>
      </c>
      <c r="K33" s="22" t="n">
        <f aca="false">F33*H33</f>
        <v>759.4</v>
      </c>
      <c r="L33" s="22" t="n">
        <f aca="false">F33*I33</f>
        <v>1139.1</v>
      </c>
      <c r="M33" s="5" t="s">
        <v>336</v>
      </c>
    </row>
    <row r="34" customFormat="false" ht="15" hidden="false" customHeight="false" outlineLevel="0" collapsed="false">
      <c r="A34" s="5" t="s">
        <v>542</v>
      </c>
      <c r="B34" s="5" t="s">
        <v>338</v>
      </c>
      <c r="C34" s="5" t="s">
        <v>186</v>
      </c>
      <c r="D34" s="5" t="s">
        <v>339</v>
      </c>
      <c r="E34" s="5" t="s">
        <v>317</v>
      </c>
      <c r="F34" s="21" t="n">
        <v>103.4</v>
      </c>
      <c r="G34" s="21" t="n">
        <v>0</v>
      </c>
      <c r="H34" s="21" t="n">
        <v>3.2</v>
      </c>
      <c r="I34" s="21" t="n">
        <v>4.8</v>
      </c>
      <c r="J34" s="22" t="n">
        <f aca="false">F34*G34</f>
        <v>0</v>
      </c>
      <c r="K34" s="22" t="n">
        <f aca="false">F34*H34</f>
        <v>330.88</v>
      </c>
      <c r="L34" s="22" t="n">
        <f aca="false">F34*I34</f>
        <v>496.32</v>
      </c>
      <c r="M34" s="5" t="s">
        <v>340</v>
      </c>
    </row>
    <row r="35" customFormat="false" ht="15" hidden="false" customHeight="false" outlineLevel="0" collapsed="false">
      <c r="A35" s="5" t="s">
        <v>542</v>
      </c>
      <c r="B35" s="5" t="s">
        <v>341</v>
      </c>
      <c r="C35" s="5" t="s">
        <v>186</v>
      </c>
      <c r="D35" s="5" t="s">
        <v>342</v>
      </c>
      <c r="E35" s="5" t="s">
        <v>317</v>
      </c>
      <c r="F35" s="21" t="n">
        <v>828.32</v>
      </c>
      <c r="G35" s="21" t="n">
        <v>0</v>
      </c>
      <c r="H35" s="21" t="n">
        <v>4.8</v>
      </c>
      <c r="I35" s="21" t="n">
        <v>7.2</v>
      </c>
      <c r="J35" s="22" t="n">
        <f aca="false">F35*G35</f>
        <v>0</v>
      </c>
      <c r="K35" s="22" t="n">
        <f aca="false">F35*H35</f>
        <v>3975.936</v>
      </c>
      <c r="L35" s="22" t="n">
        <f aca="false">F35*I35</f>
        <v>5963.904</v>
      </c>
      <c r="M35" s="5" t="s">
        <v>343</v>
      </c>
    </row>
    <row r="36" customFormat="false" ht="15" hidden="false" customHeight="false" outlineLevel="0" collapsed="false">
      <c r="A36" s="5" t="s">
        <v>542</v>
      </c>
      <c r="B36" s="5" t="s">
        <v>344</v>
      </c>
      <c r="C36" s="5" t="s">
        <v>186</v>
      </c>
      <c r="D36" s="5" t="s">
        <v>345</v>
      </c>
      <c r="E36" s="5" t="s">
        <v>346</v>
      </c>
      <c r="F36" s="21" t="n">
        <v>10.41</v>
      </c>
      <c r="G36" s="21" t="n">
        <v>0</v>
      </c>
      <c r="H36" s="21" t="n">
        <v>400</v>
      </c>
      <c r="I36" s="21" t="n">
        <v>600</v>
      </c>
      <c r="J36" s="22" t="n">
        <f aca="false">F36*G36</f>
        <v>0</v>
      </c>
      <c r="K36" s="22" t="n">
        <f aca="false">F36*H36</f>
        <v>4164</v>
      </c>
      <c r="L36" s="22" t="n">
        <f aca="false">F36*I36</f>
        <v>6246</v>
      </c>
      <c r="M36" s="5" t="s">
        <v>347</v>
      </c>
    </row>
    <row r="37" customFormat="false" ht="15" hidden="false" customHeight="false" outlineLevel="0" collapsed="false">
      <c r="A37" s="5" t="s">
        <v>542</v>
      </c>
      <c r="B37" s="5" t="s">
        <v>348</v>
      </c>
      <c r="C37" s="5" t="s">
        <v>186</v>
      </c>
      <c r="D37" s="5" t="s">
        <v>349</v>
      </c>
      <c r="E37" s="5" t="s">
        <v>188</v>
      </c>
      <c r="F37" s="21" t="n">
        <v>122.64</v>
      </c>
      <c r="G37" s="21" t="n">
        <v>0</v>
      </c>
      <c r="H37" s="21" t="n">
        <v>44</v>
      </c>
      <c r="I37" s="21" t="n">
        <v>66</v>
      </c>
      <c r="J37" s="22" t="n">
        <f aca="false">F37*G37</f>
        <v>0</v>
      </c>
      <c r="K37" s="22" t="n">
        <f aca="false">F37*H37</f>
        <v>5396.16</v>
      </c>
      <c r="L37" s="22" t="n">
        <f aca="false">F37*I37</f>
        <v>8094.24</v>
      </c>
      <c r="M37" s="5" t="s">
        <v>350</v>
      </c>
    </row>
    <row r="38" customFormat="false" ht="15" hidden="false" customHeight="false" outlineLevel="0" collapsed="false">
      <c r="A38" s="5" t="s">
        <v>543</v>
      </c>
      <c r="B38" s="5" t="s">
        <v>352</v>
      </c>
      <c r="C38" s="5" t="s">
        <v>186</v>
      </c>
      <c r="D38" s="5" t="s">
        <v>353</v>
      </c>
      <c r="E38" s="5" t="s">
        <v>188</v>
      </c>
      <c r="F38" s="21" t="n">
        <v>119.54</v>
      </c>
      <c r="G38" s="21" t="n">
        <v>0</v>
      </c>
      <c r="H38" s="21" t="n">
        <v>60</v>
      </c>
      <c r="I38" s="21" t="n">
        <v>90</v>
      </c>
      <c r="J38" s="22" t="n">
        <f aca="false">F38*G38</f>
        <v>0</v>
      </c>
      <c r="K38" s="22" t="n">
        <f aca="false">F38*H38</f>
        <v>7172.4</v>
      </c>
      <c r="L38" s="22" t="n">
        <f aca="false">F38*I38</f>
        <v>10758.6</v>
      </c>
      <c r="M38" s="5" t="s">
        <v>354</v>
      </c>
    </row>
    <row r="39" customFormat="false" ht="15" hidden="false" customHeight="false" outlineLevel="0" collapsed="false">
      <c r="A39" s="5" t="s">
        <v>543</v>
      </c>
      <c r="B39" s="5" t="s">
        <v>249</v>
      </c>
      <c r="C39" s="5" t="s">
        <v>186</v>
      </c>
      <c r="D39" s="5" t="s">
        <v>250</v>
      </c>
      <c r="E39" s="5" t="s">
        <v>188</v>
      </c>
      <c r="F39" s="21" t="n">
        <v>6.03</v>
      </c>
      <c r="G39" s="21" t="n">
        <v>0</v>
      </c>
      <c r="H39" s="21" t="n">
        <v>120</v>
      </c>
      <c r="I39" s="21" t="n">
        <v>180</v>
      </c>
      <c r="J39" s="22" t="n">
        <f aca="false">F39*G39</f>
        <v>0</v>
      </c>
      <c r="K39" s="22" t="n">
        <f aca="false">F39*H39</f>
        <v>723.6</v>
      </c>
      <c r="L39" s="22" t="n">
        <f aca="false">F39*I39</f>
        <v>1085.4</v>
      </c>
      <c r="M39" s="5" t="s">
        <v>355</v>
      </c>
    </row>
    <row r="40" customFormat="false" ht="15" hidden="false" customHeight="false" outlineLevel="0" collapsed="false">
      <c r="A40" s="5" t="s">
        <v>543</v>
      </c>
      <c r="B40" s="5" t="s">
        <v>252</v>
      </c>
      <c r="C40" s="5" t="s">
        <v>186</v>
      </c>
      <c r="D40" s="5" t="s">
        <v>253</v>
      </c>
      <c r="E40" s="5" t="s">
        <v>188</v>
      </c>
      <c r="F40" s="21" t="n">
        <v>31.79</v>
      </c>
      <c r="G40" s="21" t="n">
        <v>0</v>
      </c>
      <c r="H40" s="21" t="n">
        <v>96</v>
      </c>
      <c r="I40" s="21" t="n">
        <v>144</v>
      </c>
      <c r="J40" s="22" t="n">
        <f aca="false">F40*G40</f>
        <v>0</v>
      </c>
      <c r="K40" s="22" t="n">
        <f aca="false">F40*H40</f>
        <v>3051.84</v>
      </c>
      <c r="L40" s="22" t="n">
        <f aca="false">F40*I40</f>
        <v>4577.76</v>
      </c>
      <c r="M40" s="5" t="s">
        <v>356</v>
      </c>
    </row>
    <row r="41" customFormat="false" ht="15" hidden="false" customHeight="false" outlineLevel="0" collapsed="false">
      <c r="A41" s="5" t="s">
        <v>543</v>
      </c>
      <c r="B41" s="5" t="s">
        <v>357</v>
      </c>
      <c r="C41" s="5" t="s">
        <v>186</v>
      </c>
      <c r="D41" s="5" t="s">
        <v>358</v>
      </c>
      <c r="E41" s="5" t="s">
        <v>188</v>
      </c>
      <c r="F41" s="21" t="n">
        <v>83.28</v>
      </c>
      <c r="G41" s="21" t="n">
        <v>0</v>
      </c>
      <c r="H41" s="21" t="n">
        <v>24</v>
      </c>
      <c r="I41" s="21" t="n">
        <v>36</v>
      </c>
      <c r="J41" s="22" t="n">
        <f aca="false">F41*G41</f>
        <v>0</v>
      </c>
      <c r="K41" s="22" t="n">
        <f aca="false">F41*H41</f>
        <v>1998.72</v>
      </c>
      <c r="L41" s="22" t="n">
        <f aca="false">F41*I41</f>
        <v>2998.08</v>
      </c>
      <c r="M41" s="5" t="s">
        <v>359</v>
      </c>
    </row>
    <row r="42" customFormat="false" ht="15" hidden="false" customHeight="false" outlineLevel="0" collapsed="false">
      <c r="A42" s="5" t="s">
        <v>543</v>
      </c>
      <c r="B42" s="5" t="s">
        <v>255</v>
      </c>
      <c r="C42" s="5" t="s">
        <v>186</v>
      </c>
      <c r="D42" s="5" t="s">
        <v>256</v>
      </c>
      <c r="E42" s="5" t="s">
        <v>188</v>
      </c>
      <c r="F42" s="21" t="n">
        <v>59.3</v>
      </c>
      <c r="G42" s="21" t="n">
        <v>0</v>
      </c>
      <c r="H42" s="21" t="n">
        <v>12</v>
      </c>
      <c r="I42" s="21" t="n">
        <v>18</v>
      </c>
      <c r="J42" s="22" t="n">
        <f aca="false">F42*G42</f>
        <v>0</v>
      </c>
      <c r="K42" s="22" t="n">
        <f aca="false">F42*H42</f>
        <v>711.6</v>
      </c>
      <c r="L42" s="22" t="n">
        <f aca="false">F42*I42</f>
        <v>1067.4</v>
      </c>
      <c r="M42" s="5" t="s">
        <v>360</v>
      </c>
    </row>
    <row r="43" customFormat="false" ht="15" hidden="false" customHeight="false" outlineLevel="0" collapsed="false">
      <c r="A43" s="5" t="s">
        <v>544</v>
      </c>
      <c r="B43" s="5" t="s">
        <v>362</v>
      </c>
      <c r="C43" s="5" t="s">
        <v>186</v>
      </c>
      <c r="D43" s="5" t="s">
        <v>363</v>
      </c>
      <c r="E43" s="5" t="s">
        <v>188</v>
      </c>
      <c r="F43" s="21" t="n">
        <v>48.41</v>
      </c>
      <c r="G43" s="21" t="n">
        <v>0</v>
      </c>
      <c r="H43" s="21" t="n">
        <v>40</v>
      </c>
      <c r="I43" s="21" t="n">
        <v>60</v>
      </c>
      <c r="J43" s="22" t="n">
        <f aca="false">F43*G43</f>
        <v>0</v>
      </c>
      <c r="K43" s="22" t="n">
        <f aca="false">F43*H43</f>
        <v>1936.4</v>
      </c>
      <c r="L43" s="22" t="n">
        <f aca="false">F43*I43</f>
        <v>2904.6</v>
      </c>
      <c r="M43" s="5" t="s">
        <v>364</v>
      </c>
    </row>
    <row r="44" customFormat="false" ht="15" hidden="false" customHeight="false" outlineLevel="0" collapsed="false">
      <c r="A44" s="5" t="s">
        <v>544</v>
      </c>
      <c r="B44" s="5" t="s">
        <v>258</v>
      </c>
      <c r="C44" s="5" t="s">
        <v>186</v>
      </c>
      <c r="D44" s="5" t="s">
        <v>259</v>
      </c>
      <c r="E44" s="5" t="s">
        <v>188</v>
      </c>
      <c r="F44" s="21" t="n">
        <v>58.19</v>
      </c>
      <c r="G44" s="21" t="n">
        <v>0</v>
      </c>
      <c r="H44" s="21" t="n">
        <v>40</v>
      </c>
      <c r="I44" s="21" t="n">
        <v>60</v>
      </c>
      <c r="J44" s="22" t="n">
        <f aca="false">F44*G44</f>
        <v>0</v>
      </c>
      <c r="K44" s="22" t="n">
        <f aca="false">F44*H44</f>
        <v>2327.6</v>
      </c>
      <c r="L44" s="22" t="n">
        <f aca="false">F44*I44</f>
        <v>3491.4</v>
      </c>
      <c r="M44" s="5" t="s">
        <v>365</v>
      </c>
    </row>
    <row r="45" customFormat="false" ht="15" hidden="false" customHeight="false" outlineLevel="0" collapsed="false">
      <c r="A45" s="5" t="s">
        <v>544</v>
      </c>
      <c r="B45" s="5" t="s">
        <v>261</v>
      </c>
      <c r="C45" s="5" t="s">
        <v>186</v>
      </c>
      <c r="D45" s="5" t="s">
        <v>262</v>
      </c>
      <c r="E45" s="5" t="s">
        <v>188</v>
      </c>
      <c r="F45" s="21" t="n">
        <v>50.14</v>
      </c>
      <c r="G45" s="21" t="n">
        <v>0</v>
      </c>
      <c r="H45" s="21" t="n">
        <v>40</v>
      </c>
      <c r="I45" s="21" t="n">
        <v>60</v>
      </c>
      <c r="J45" s="22" t="n">
        <f aca="false">F45*G45</f>
        <v>0</v>
      </c>
      <c r="K45" s="22" t="n">
        <f aca="false">F45*H45</f>
        <v>2005.6</v>
      </c>
      <c r="L45" s="22" t="n">
        <f aca="false">F45*I45</f>
        <v>3008.4</v>
      </c>
      <c r="M45" s="5" t="s">
        <v>366</v>
      </c>
    </row>
    <row r="46" customFormat="false" ht="15" hidden="false" customHeight="false" outlineLevel="0" collapsed="false">
      <c r="A46" s="5" t="s">
        <v>544</v>
      </c>
      <c r="B46" s="5" t="s">
        <v>367</v>
      </c>
      <c r="C46" s="5" t="s">
        <v>186</v>
      </c>
      <c r="D46" s="5" t="s">
        <v>368</v>
      </c>
      <c r="E46" s="5" t="s">
        <v>188</v>
      </c>
      <c r="F46" s="21" t="n">
        <v>91.17</v>
      </c>
      <c r="G46" s="21" t="n">
        <v>0</v>
      </c>
      <c r="H46" s="21" t="n">
        <v>6</v>
      </c>
      <c r="I46" s="21" t="n">
        <v>9</v>
      </c>
      <c r="J46" s="22" t="n">
        <f aca="false">F46*G46</f>
        <v>0</v>
      </c>
      <c r="K46" s="22" t="n">
        <f aca="false">F46*H46</f>
        <v>547.02</v>
      </c>
      <c r="L46" s="22" t="n">
        <f aca="false">F46*I46</f>
        <v>820.53</v>
      </c>
      <c r="M46" s="5" t="s">
        <v>369</v>
      </c>
    </row>
    <row r="47" customFormat="false" ht="15" hidden="false" customHeight="false" outlineLevel="0" collapsed="false">
      <c r="A47" s="5" t="s">
        <v>545</v>
      </c>
      <c r="B47" s="5" t="s">
        <v>239</v>
      </c>
      <c r="C47" s="5" t="s">
        <v>186</v>
      </c>
      <c r="D47" s="5" t="s">
        <v>240</v>
      </c>
      <c r="E47" s="5" t="s">
        <v>188</v>
      </c>
      <c r="F47" s="21" t="n">
        <v>101.54</v>
      </c>
      <c r="G47" s="21" t="n">
        <v>0</v>
      </c>
      <c r="H47" s="21" t="n">
        <v>50</v>
      </c>
      <c r="I47" s="21" t="n">
        <v>75</v>
      </c>
      <c r="J47" s="22" t="n">
        <f aca="false">F47*G47</f>
        <v>0</v>
      </c>
      <c r="K47" s="22" t="n">
        <f aca="false">F47*H47</f>
        <v>5077</v>
      </c>
      <c r="L47" s="22" t="n">
        <f aca="false">F47*I47</f>
        <v>7615.5</v>
      </c>
      <c r="M47" s="5" t="s">
        <v>371</v>
      </c>
    </row>
    <row r="48" customFormat="false" ht="15" hidden="false" customHeight="false" outlineLevel="0" collapsed="false">
      <c r="A48" s="5" t="s">
        <v>545</v>
      </c>
      <c r="B48" s="5" t="s">
        <v>242</v>
      </c>
      <c r="C48" s="5" t="s">
        <v>186</v>
      </c>
      <c r="D48" s="5" t="s">
        <v>243</v>
      </c>
      <c r="E48" s="5" t="s">
        <v>188</v>
      </c>
      <c r="F48" s="21" t="n">
        <v>42.42</v>
      </c>
      <c r="G48" s="21" t="n">
        <v>0</v>
      </c>
      <c r="H48" s="21" t="n">
        <v>50</v>
      </c>
      <c r="I48" s="21" t="n">
        <v>75</v>
      </c>
      <c r="J48" s="22" t="n">
        <f aca="false">F48*G48</f>
        <v>0</v>
      </c>
      <c r="K48" s="22" t="n">
        <f aca="false">F48*H48</f>
        <v>2121</v>
      </c>
      <c r="L48" s="22" t="n">
        <f aca="false">F48*I48</f>
        <v>3181.5</v>
      </c>
      <c r="M48" s="5" t="s">
        <v>372</v>
      </c>
    </row>
    <row r="49" customFormat="false" ht="15" hidden="false" customHeight="false" outlineLevel="0" collapsed="false">
      <c r="A49" s="5" t="s">
        <v>545</v>
      </c>
      <c r="B49" s="5" t="s">
        <v>245</v>
      </c>
      <c r="C49" s="5" t="s">
        <v>186</v>
      </c>
      <c r="D49" s="5" t="s">
        <v>246</v>
      </c>
      <c r="E49" s="5" t="s">
        <v>188</v>
      </c>
      <c r="F49" s="21" t="n">
        <v>73.2</v>
      </c>
      <c r="G49" s="21" t="n">
        <v>0</v>
      </c>
      <c r="H49" s="21" t="n">
        <v>36</v>
      </c>
      <c r="I49" s="21" t="n">
        <v>54</v>
      </c>
      <c r="J49" s="22" t="n">
        <f aca="false">F49*G49</f>
        <v>0</v>
      </c>
      <c r="K49" s="22" t="n">
        <f aca="false">F49*H49</f>
        <v>2635.2</v>
      </c>
      <c r="L49" s="22" t="n">
        <f aca="false">F49*I49</f>
        <v>3952.8</v>
      </c>
      <c r="M49" s="5" t="s">
        <v>373</v>
      </c>
    </row>
    <row r="50" customFormat="false" ht="15" hidden="false" customHeight="false" outlineLevel="0" collapsed="false">
      <c r="A50" s="5" t="s">
        <v>546</v>
      </c>
      <c r="B50" s="5" t="s">
        <v>275</v>
      </c>
      <c r="C50" s="5" t="s">
        <v>186</v>
      </c>
      <c r="D50" s="5" t="s">
        <v>276</v>
      </c>
      <c r="E50" s="5" t="s">
        <v>277</v>
      </c>
      <c r="F50" s="21" t="n">
        <v>1179.17</v>
      </c>
      <c r="G50" s="21" t="n">
        <v>0</v>
      </c>
      <c r="H50" s="21" t="n">
        <v>2.67</v>
      </c>
      <c r="I50" s="21" t="n">
        <v>4</v>
      </c>
      <c r="J50" s="22" t="n">
        <f aca="false">F50*G50</f>
        <v>0</v>
      </c>
      <c r="K50" s="22" t="n">
        <f aca="false">F50*H50</f>
        <v>3148.3839</v>
      </c>
      <c r="L50" s="22" t="n">
        <f aca="false">F50*I50</f>
        <v>4716.68</v>
      </c>
      <c r="M50" s="5" t="s">
        <v>375</v>
      </c>
    </row>
    <row r="51" customFormat="false" ht="15" hidden="false" customHeight="false" outlineLevel="0" collapsed="false">
      <c r="A51" s="5" t="s">
        <v>546</v>
      </c>
      <c r="B51" s="5" t="s">
        <v>272</v>
      </c>
      <c r="C51" s="5" t="s">
        <v>186</v>
      </c>
      <c r="D51" s="5" t="s">
        <v>273</v>
      </c>
      <c r="E51" s="5" t="s">
        <v>188</v>
      </c>
      <c r="F51" s="21" t="n">
        <v>223.25</v>
      </c>
      <c r="G51" s="21" t="n">
        <v>0</v>
      </c>
      <c r="H51" s="21" t="n">
        <v>6</v>
      </c>
      <c r="I51" s="21" t="n">
        <v>9</v>
      </c>
      <c r="J51" s="22" t="n">
        <f aca="false">F51*G51</f>
        <v>0</v>
      </c>
      <c r="K51" s="22" t="n">
        <f aca="false">F51*H51</f>
        <v>1339.5</v>
      </c>
      <c r="L51" s="22" t="n">
        <f aca="false">F51*I51</f>
        <v>2009.25</v>
      </c>
      <c r="M51" s="5" t="s">
        <v>376</v>
      </c>
    </row>
    <row r="52" customFormat="false" ht="15" hidden="false" customHeight="false" outlineLevel="0" collapsed="false">
      <c r="A52" s="5" t="s">
        <v>547</v>
      </c>
      <c r="B52" s="5" t="s">
        <v>265</v>
      </c>
      <c r="C52" s="5" t="s">
        <v>186</v>
      </c>
      <c r="D52" s="5" t="s">
        <v>266</v>
      </c>
      <c r="E52" s="5" t="s">
        <v>188</v>
      </c>
      <c r="F52" s="21" t="n">
        <v>12.33</v>
      </c>
      <c r="G52" s="21" t="n">
        <v>0</v>
      </c>
      <c r="H52" s="21" t="n">
        <v>96</v>
      </c>
      <c r="I52" s="21" t="n">
        <v>144</v>
      </c>
      <c r="J52" s="22" t="n">
        <f aca="false">F52*G52</f>
        <v>0</v>
      </c>
      <c r="K52" s="22" t="n">
        <f aca="false">F52*H52</f>
        <v>1183.68</v>
      </c>
      <c r="L52" s="22" t="n">
        <f aca="false">F52*I52</f>
        <v>1775.52</v>
      </c>
      <c r="M52" s="5" t="s">
        <v>378</v>
      </c>
    </row>
    <row r="53" customFormat="false" ht="15" hidden="false" customHeight="false" outlineLevel="0" collapsed="false">
      <c r="A53" s="5" t="s">
        <v>547</v>
      </c>
      <c r="B53" s="5" t="s">
        <v>379</v>
      </c>
      <c r="C53" s="5" t="s">
        <v>186</v>
      </c>
      <c r="D53" s="5" t="s">
        <v>380</v>
      </c>
      <c r="E53" s="5" t="s">
        <v>188</v>
      </c>
      <c r="F53" s="21" t="n">
        <v>23.22</v>
      </c>
      <c r="G53" s="21" t="n">
        <v>0</v>
      </c>
      <c r="H53" s="21" t="n">
        <v>24</v>
      </c>
      <c r="I53" s="21" t="n">
        <v>36</v>
      </c>
      <c r="J53" s="22" t="n">
        <f aca="false">F53*G53</f>
        <v>0</v>
      </c>
      <c r="K53" s="22" t="n">
        <f aca="false">F53*H53</f>
        <v>557.28</v>
      </c>
      <c r="L53" s="22" t="n">
        <f aca="false">F53*I53</f>
        <v>835.92</v>
      </c>
      <c r="M53" s="5" t="s">
        <v>381</v>
      </c>
    </row>
    <row r="54" customFormat="false" ht="15" hidden="false" customHeight="false" outlineLevel="0" collapsed="false">
      <c r="A54" s="5" t="s">
        <v>548</v>
      </c>
      <c r="B54" s="5" t="s">
        <v>280</v>
      </c>
      <c r="C54" s="5" t="s">
        <v>186</v>
      </c>
      <c r="D54" s="5" t="s">
        <v>281</v>
      </c>
      <c r="E54" s="5" t="s">
        <v>277</v>
      </c>
      <c r="F54" s="21" t="n">
        <v>53.69</v>
      </c>
      <c r="G54" s="21" t="n">
        <v>0</v>
      </c>
      <c r="H54" s="21" t="n">
        <v>6.67</v>
      </c>
      <c r="I54" s="21" t="n">
        <v>10</v>
      </c>
      <c r="J54" s="22" t="n">
        <f aca="false">F54*G54</f>
        <v>0</v>
      </c>
      <c r="K54" s="22" t="n">
        <f aca="false">F54*H54</f>
        <v>358.1123</v>
      </c>
      <c r="L54" s="22" t="n">
        <f aca="false">F54*I54</f>
        <v>536.9</v>
      </c>
      <c r="M54" s="5" t="s">
        <v>383</v>
      </c>
    </row>
    <row r="55" customFormat="false" ht="15" hidden="false" customHeight="false" outlineLevel="0" collapsed="false">
      <c r="A55" s="5" t="s">
        <v>548</v>
      </c>
      <c r="B55" s="5" t="s">
        <v>283</v>
      </c>
      <c r="C55" s="5" t="s">
        <v>186</v>
      </c>
      <c r="D55" s="5" t="s">
        <v>284</v>
      </c>
      <c r="E55" s="5" t="s">
        <v>277</v>
      </c>
      <c r="F55" s="21" t="n">
        <v>30.86</v>
      </c>
      <c r="G55" s="21" t="n">
        <v>0</v>
      </c>
      <c r="H55" s="21" t="n">
        <v>5</v>
      </c>
      <c r="I55" s="21" t="n">
        <v>7.5</v>
      </c>
      <c r="J55" s="22" t="n">
        <f aca="false">F55*G55</f>
        <v>0</v>
      </c>
      <c r="K55" s="22" t="n">
        <f aca="false">F55*H55</f>
        <v>154.3</v>
      </c>
      <c r="L55" s="22" t="n">
        <f aca="false">F55*I55</f>
        <v>231.45</v>
      </c>
      <c r="M55" s="5" t="s">
        <v>384</v>
      </c>
    </row>
    <row r="56" customFormat="false" ht="15" hidden="false" customHeight="false" outlineLevel="0" collapsed="false">
      <c r="A56" s="5" t="s">
        <v>548</v>
      </c>
      <c r="B56" s="5" t="s">
        <v>286</v>
      </c>
      <c r="C56" s="5" t="s">
        <v>186</v>
      </c>
      <c r="D56" s="5" t="s">
        <v>287</v>
      </c>
      <c r="E56" s="5" t="s">
        <v>194</v>
      </c>
      <c r="F56" s="21" t="n">
        <v>5.48</v>
      </c>
      <c r="G56" s="21" t="n">
        <v>0</v>
      </c>
      <c r="H56" s="21" t="n">
        <v>480</v>
      </c>
      <c r="I56" s="21" t="n">
        <v>720</v>
      </c>
      <c r="J56" s="22" t="n">
        <f aca="false">F56*G56</f>
        <v>0</v>
      </c>
      <c r="K56" s="22" t="n">
        <f aca="false">F56*H56</f>
        <v>2630.4</v>
      </c>
      <c r="L56" s="22" t="n">
        <f aca="false">F56*I56</f>
        <v>3945.6</v>
      </c>
      <c r="M56" s="5" t="s">
        <v>385</v>
      </c>
    </row>
    <row r="57" customFormat="false" ht="15" hidden="false" customHeight="false" outlineLevel="0" collapsed="false">
      <c r="A57" s="5" t="s">
        <v>548</v>
      </c>
      <c r="B57" s="5" t="s">
        <v>289</v>
      </c>
      <c r="C57" s="5" t="s">
        <v>186</v>
      </c>
      <c r="D57" s="5" t="s">
        <v>290</v>
      </c>
      <c r="E57" s="5" t="s">
        <v>194</v>
      </c>
      <c r="F57" s="21" t="n">
        <v>11.2</v>
      </c>
      <c r="G57" s="21" t="n">
        <v>0</v>
      </c>
      <c r="H57" s="21" t="n">
        <v>160</v>
      </c>
      <c r="I57" s="21" t="n">
        <v>240</v>
      </c>
      <c r="J57" s="22" t="n">
        <f aca="false">F57*G57</f>
        <v>0</v>
      </c>
      <c r="K57" s="22" t="n">
        <f aca="false">F57*H57</f>
        <v>1792</v>
      </c>
      <c r="L57" s="22" t="n">
        <f aca="false">F57*I57</f>
        <v>2688</v>
      </c>
      <c r="M57" s="5" t="s">
        <v>386</v>
      </c>
    </row>
    <row r="58" customFormat="false" ht="15" hidden="false" customHeight="false" outlineLevel="0" collapsed="false">
      <c r="A58" s="5" t="s">
        <v>549</v>
      </c>
      <c r="B58" s="5" t="s">
        <v>301</v>
      </c>
      <c r="C58" s="5" t="s">
        <v>186</v>
      </c>
      <c r="D58" s="5" t="s">
        <v>302</v>
      </c>
      <c r="E58" s="5" t="s">
        <v>194</v>
      </c>
      <c r="F58" s="21" t="n">
        <v>43.26</v>
      </c>
      <c r="G58" s="21" t="n">
        <v>0</v>
      </c>
      <c r="H58" s="21" t="n">
        <v>12</v>
      </c>
      <c r="I58" s="21" t="n">
        <v>18</v>
      </c>
      <c r="J58" s="22" t="n">
        <f aca="false">F58*G58</f>
        <v>0</v>
      </c>
      <c r="K58" s="22" t="n">
        <f aca="false">F58*H58</f>
        <v>519.12</v>
      </c>
      <c r="L58" s="22" t="n">
        <f aca="false">F58*I58</f>
        <v>778.68</v>
      </c>
      <c r="M58" s="5" t="s">
        <v>388</v>
      </c>
    </row>
    <row r="59" customFormat="false" ht="15" hidden="false" customHeight="false" outlineLevel="0" collapsed="false">
      <c r="A59" s="5" t="s">
        <v>548</v>
      </c>
      <c r="B59" s="5" t="s">
        <v>292</v>
      </c>
      <c r="C59" s="5" t="s">
        <v>186</v>
      </c>
      <c r="D59" s="5" t="s">
        <v>293</v>
      </c>
      <c r="E59" s="5" t="s">
        <v>277</v>
      </c>
      <c r="F59" s="21" t="n">
        <v>623.29</v>
      </c>
      <c r="G59" s="21" t="n">
        <v>0</v>
      </c>
      <c r="H59" s="21" t="n">
        <v>1</v>
      </c>
      <c r="I59" s="21" t="n">
        <v>1</v>
      </c>
      <c r="J59" s="22" t="n">
        <f aca="false">F59*G59</f>
        <v>0</v>
      </c>
      <c r="K59" s="22" t="n">
        <f aca="false">F59*H59</f>
        <v>623.29</v>
      </c>
      <c r="L59" s="22" t="n">
        <f aca="false">F59*I59</f>
        <v>623.29</v>
      </c>
      <c r="M59" s="5" t="s">
        <v>389</v>
      </c>
    </row>
    <row r="60" customFormat="false" ht="15" hidden="false" customHeight="false" outlineLevel="0" collapsed="false">
      <c r="A60" s="5" t="s">
        <v>549</v>
      </c>
      <c r="B60" s="5" t="s">
        <v>295</v>
      </c>
      <c r="C60" s="5" t="s">
        <v>186</v>
      </c>
      <c r="D60" s="5" t="s">
        <v>296</v>
      </c>
      <c r="E60" s="5" t="s">
        <v>277</v>
      </c>
      <c r="F60" s="21" t="n">
        <v>630.3</v>
      </c>
      <c r="G60" s="21" t="n">
        <v>0</v>
      </c>
      <c r="H60" s="21" t="n">
        <v>1</v>
      </c>
      <c r="I60" s="21" t="n">
        <v>1.5</v>
      </c>
      <c r="J60" s="22" t="n">
        <f aca="false">F60*G60</f>
        <v>0</v>
      </c>
      <c r="K60" s="22" t="n">
        <f aca="false">F60*H60</f>
        <v>630.3</v>
      </c>
      <c r="L60" s="22" t="n">
        <f aca="false">F60*I60</f>
        <v>945.45</v>
      </c>
      <c r="M60" s="5" t="s">
        <v>390</v>
      </c>
    </row>
    <row r="61" customFormat="false" ht="15" hidden="false" customHeight="false" outlineLevel="0" collapsed="false">
      <c r="A61" s="5" t="s">
        <v>549</v>
      </c>
      <c r="B61" s="5" t="s">
        <v>298</v>
      </c>
      <c r="C61" s="5" t="s">
        <v>186</v>
      </c>
      <c r="D61" s="5" t="s">
        <v>299</v>
      </c>
      <c r="E61" s="5" t="s">
        <v>277</v>
      </c>
      <c r="F61" s="21" t="n">
        <v>368.02</v>
      </c>
      <c r="G61" s="21" t="n">
        <v>0</v>
      </c>
      <c r="H61" s="21" t="n">
        <v>1</v>
      </c>
      <c r="I61" s="21" t="n">
        <v>1.5</v>
      </c>
      <c r="J61" s="22" t="n">
        <f aca="false">F61*G61</f>
        <v>0</v>
      </c>
      <c r="K61" s="22" t="n">
        <f aca="false">F61*H61</f>
        <v>368.02</v>
      </c>
      <c r="L61" s="22" t="n">
        <f aca="false">F61*I61</f>
        <v>552.03</v>
      </c>
      <c r="M61" s="5" t="s">
        <v>391</v>
      </c>
    </row>
    <row r="62" customFormat="false" ht="15" hidden="false" customHeight="false" outlineLevel="0" collapsed="false">
      <c r="A62" s="5" t="s">
        <v>549</v>
      </c>
      <c r="B62" s="5" t="s">
        <v>392</v>
      </c>
      <c r="C62" s="5" t="s">
        <v>186</v>
      </c>
      <c r="D62" s="5" t="s">
        <v>393</v>
      </c>
      <c r="E62" s="5" t="s">
        <v>277</v>
      </c>
      <c r="F62" s="21" t="n">
        <v>852.26</v>
      </c>
      <c r="G62" s="21" t="n">
        <v>0</v>
      </c>
      <c r="H62" s="21" t="n">
        <v>1</v>
      </c>
      <c r="I62" s="21" t="n">
        <v>1</v>
      </c>
      <c r="J62" s="22" t="n">
        <f aca="false">F62*G62</f>
        <v>0</v>
      </c>
      <c r="K62" s="22" t="n">
        <f aca="false">F62*H62</f>
        <v>852.26</v>
      </c>
      <c r="L62" s="22" t="n">
        <f aca="false">F62*I62</f>
        <v>852.26</v>
      </c>
      <c r="M62" s="5" t="s">
        <v>394</v>
      </c>
    </row>
    <row r="63" customFormat="false" ht="15" hidden="false" customHeight="false" outlineLevel="0" collapsed="false">
      <c r="A63" s="5" t="s">
        <v>549</v>
      </c>
      <c r="B63" s="5" t="s">
        <v>395</v>
      </c>
      <c r="C63" s="5" t="s">
        <v>186</v>
      </c>
      <c r="D63" s="5" t="s">
        <v>396</v>
      </c>
      <c r="E63" s="5" t="s">
        <v>277</v>
      </c>
      <c r="F63" s="21" t="n">
        <v>333.31</v>
      </c>
      <c r="G63" s="21" t="n">
        <v>0</v>
      </c>
      <c r="H63" s="21" t="n">
        <v>1</v>
      </c>
      <c r="I63" s="21" t="n">
        <v>1</v>
      </c>
      <c r="J63" s="22" t="n">
        <f aca="false">F63*G63</f>
        <v>0</v>
      </c>
      <c r="K63" s="22" t="n">
        <f aca="false">F63*H63</f>
        <v>333.31</v>
      </c>
      <c r="L63" s="22" t="n">
        <f aca="false">F63*I63</f>
        <v>333.31</v>
      </c>
      <c r="M63" s="5" t="s">
        <v>397</v>
      </c>
    </row>
    <row r="64" customFormat="false" ht="15" hidden="false" customHeight="false" outlineLevel="0" collapsed="false">
      <c r="A64" s="5" t="s">
        <v>550</v>
      </c>
      <c r="B64" s="5" t="s">
        <v>305</v>
      </c>
      <c r="C64" s="5" t="s">
        <v>186</v>
      </c>
      <c r="D64" s="5" t="s">
        <v>306</v>
      </c>
      <c r="E64" s="5" t="s">
        <v>277</v>
      </c>
      <c r="F64" s="21" t="n">
        <v>288.1</v>
      </c>
      <c r="G64" s="21" t="n">
        <v>0</v>
      </c>
      <c r="H64" s="21" t="n">
        <v>1</v>
      </c>
      <c r="I64" s="21" t="n">
        <v>1</v>
      </c>
      <c r="J64" s="22" t="n">
        <f aca="false">F64*G64</f>
        <v>0</v>
      </c>
      <c r="K64" s="22" t="n">
        <f aca="false">F64*H64</f>
        <v>288.1</v>
      </c>
      <c r="L64" s="22" t="n">
        <f aca="false">F64*I64</f>
        <v>288.1</v>
      </c>
      <c r="M64" s="5" t="s">
        <v>399</v>
      </c>
    </row>
    <row r="65" customFormat="false" ht="15" hidden="false" customHeight="false" outlineLevel="0" collapsed="false">
      <c r="A65" s="5" t="s">
        <v>550</v>
      </c>
      <c r="B65" s="5" t="s">
        <v>308</v>
      </c>
      <c r="C65" s="5" t="s">
        <v>186</v>
      </c>
      <c r="D65" s="5" t="s">
        <v>309</v>
      </c>
      <c r="E65" s="5" t="s">
        <v>277</v>
      </c>
      <c r="F65" s="21" t="n">
        <v>17.96</v>
      </c>
      <c r="G65" s="21" t="n">
        <v>0</v>
      </c>
      <c r="H65" s="21" t="n">
        <v>1</v>
      </c>
      <c r="I65" s="21" t="n">
        <v>1.2</v>
      </c>
      <c r="J65" s="22" t="n">
        <f aca="false">F65*G65</f>
        <v>0</v>
      </c>
      <c r="K65" s="22" t="n">
        <f aca="false">F65*H65</f>
        <v>17.96</v>
      </c>
      <c r="L65" s="22" t="n">
        <f aca="false">F65*I65</f>
        <v>21.552</v>
      </c>
      <c r="M65" s="5" t="s">
        <v>400</v>
      </c>
    </row>
    <row r="66" customFormat="false" ht="15" hidden="false" customHeight="false" outlineLevel="0" collapsed="false">
      <c r="A66" s="5" t="s">
        <v>550</v>
      </c>
      <c r="B66" s="5" t="s">
        <v>311</v>
      </c>
      <c r="C66" s="5" t="s">
        <v>192</v>
      </c>
      <c r="D66" s="5" t="s">
        <v>312</v>
      </c>
      <c r="E66" s="5" t="s">
        <v>277</v>
      </c>
      <c r="F66" s="21" t="n">
        <v>20.47</v>
      </c>
      <c r="G66" s="21" t="n">
        <v>0</v>
      </c>
      <c r="H66" s="21" t="n">
        <v>1</v>
      </c>
      <c r="I66" s="21" t="n">
        <v>1.2</v>
      </c>
      <c r="J66" s="22" t="n">
        <f aca="false">F66*G66</f>
        <v>0</v>
      </c>
      <c r="K66" s="22" t="n">
        <f aca="false">F66*H66</f>
        <v>20.47</v>
      </c>
      <c r="L66" s="22" t="n">
        <f aca="false">F66*I66</f>
        <v>24.564</v>
      </c>
      <c r="M66" s="5" t="s">
        <v>401</v>
      </c>
    </row>
    <row r="67" customFormat="false" ht="15" hidden="false" customHeight="false" outlineLevel="0" collapsed="false">
      <c r="A67" s="5" t="s">
        <v>523</v>
      </c>
      <c r="B67" s="5" t="s">
        <v>524</v>
      </c>
      <c r="C67" s="5" t="s">
        <v>186</v>
      </c>
      <c r="D67" s="5" t="s">
        <v>525</v>
      </c>
      <c r="E67" s="5" t="s">
        <v>346</v>
      </c>
      <c r="F67" s="21" t="n">
        <v>13.77</v>
      </c>
      <c r="G67" s="21" t="n">
        <v>0</v>
      </c>
      <c r="H67" s="21" t="n">
        <v>0</v>
      </c>
      <c r="I67" s="21" t="n">
        <v>23936</v>
      </c>
      <c r="J67" s="22" t="n">
        <f aca="false">F67*G67</f>
        <v>0</v>
      </c>
      <c r="K67" s="22" t="n">
        <f aca="false">F67*H67</f>
        <v>0</v>
      </c>
      <c r="L67" s="22" t="n">
        <f aca="false">F67*I67</f>
        <v>329598.72</v>
      </c>
      <c r="M67" s="5" t="s">
        <v>551</v>
      </c>
    </row>
    <row r="68" customFormat="false" ht="15" hidden="false" customHeight="false" outlineLevel="0" collapsed="false">
      <c r="I68" s="7" t="s">
        <v>323</v>
      </c>
      <c r="J68" s="23" t="n">
        <f aca="false">SUM(J17:J67)</f>
        <v>505094.91</v>
      </c>
      <c r="K68" s="23" t="n">
        <f aca="false">SUM(K17:K67)</f>
        <v>636945.4722</v>
      </c>
      <c r="L68" s="23" t="n">
        <f aca="false">SUM(L17:L67)</f>
        <v>737854.44</v>
      </c>
    </row>
    <row r="69" customFormat="false" ht="15" hidden="false" customHeight="false" outlineLevel="0" collapsed="false">
      <c r="I69" s="7" t="s">
        <v>324</v>
      </c>
      <c r="J69" s="24" t="n">
        <f aca="false">PARAMETROS!$B$6</f>
        <v>0.2034</v>
      </c>
      <c r="K69" s="24" t="n">
        <f aca="false">PARAMETROS!$C$6</f>
        <v>0.2212</v>
      </c>
      <c r="L69" s="24" t="n">
        <f aca="false">PARAMETROS!$D$6</f>
        <v>0.25</v>
      </c>
    </row>
    <row r="70" customFormat="false" ht="15" hidden="false" customHeight="false" outlineLevel="0" collapsed="false">
      <c r="I70" s="7" t="s">
        <v>325</v>
      </c>
      <c r="J70" s="24" t="n">
        <f aca="false">PARAMETROS!$B$8</f>
        <v>0.05</v>
      </c>
      <c r="K70" s="24" t="n">
        <f aca="false">PARAMETROS!$C$8</f>
        <v>0.1</v>
      </c>
      <c r="L70" s="24" t="n">
        <f aca="false">PARAMETROS!$D$8</f>
        <v>0.15</v>
      </c>
    </row>
    <row r="71" customFormat="false" ht="15" hidden="false" customHeight="false" outlineLevel="0" collapsed="false">
      <c r="I71" s="7" t="s">
        <v>155</v>
      </c>
      <c r="J71" s="25" t="n">
        <f aca="false">PARAMETROS!$B$9</f>
        <v>1</v>
      </c>
      <c r="K71" s="25" t="n">
        <f aca="false">PARAMETROS!$C$9</f>
        <v>1</v>
      </c>
      <c r="L71" s="25" t="n">
        <f aca="false">PARAMETROS!$D$9</f>
        <v>1.1</v>
      </c>
    </row>
    <row r="72" customFormat="false" ht="15" hidden="false" customHeight="false" outlineLevel="0" collapsed="false">
      <c r="I72" s="7" t="s">
        <v>326</v>
      </c>
      <c r="J72" s="8" t="n">
        <f aca="false">J68*(1+J69)*(1+J70)*J71</f>
        <v>638222.7754287</v>
      </c>
      <c r="K72" s="8" t="n">
        <f aca="false">K68*(1+K69)*(1+K70)*K71</f>
        <v>855621.591715704</v>
      </c>
      <c r="L72" s="8" t="n">
        <f aca="false">L68*(1+L69)*(1+L70)*L71</f>
        <v>1166732.33325</v>
      </c>
    </row>
    <row r="74" customFormat="false" ht="15" hidden="false" customHeight="false" outlineLevel="0" collapsed="false">
      <c r="A74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552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44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23</v>
      </c>
    </row>
    <row r="8" customFormat="false" ht="15" hidden="false" customHeight="false" outlineLevel="0" collapsed="false">
      <c r="A8" s="7" t="s">
        <v>160</v>
      </c>
      <c r="B8" s="10" t="s">
        <v>553</v>
      </c>
    </row>
    <row r="9" customFormat="false" ht="15" hidden="false" customHeight="false" outlineLevel="0" collapsed="false">
      <c r="A9" s="7" t="s">
        <v>9</v>
      </c>
      <c r="B9" s="10" t="s">
        <v>46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554</v>
      </c>
    </row>
    <row r="13" customFormat="false" ht="15" hidden="false" customHeight="false" outlineLevel="0" collapsed="false">
      <c r="B13" s="20" t="s">
        <v>555</v>
      </c>
    </row>
    <row r="14" customFormat="false" ht="15" hidden="false" customHeight="false" outlineLevel="0" collapsed="false">
      <c r="B14" s="20" t="s">
        <v>556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218</v>
      </c>
    </row>
    <row r="18" customFormat="false" ht="15" hidden="false" customHeight="false" outlineLevel="0" collapsed="false">
      <c r="A18" s="5" t="s">
        <v>557</v>
      </c>
      <c r="B18" s="5" t="s">
        <v>220</v>
      </c>
      <c r="C18" s="5" t="s">
        <v>186</v>
      </c>
      <c r="D18" s="5" t="s">
        <v>221</v>
      </c>
      <c r="E18" s="5" t="s">
        <v>188</v>
      </c>
      <c r="F18" s="21" t="n">
        <v>4.43</v>
      </c>
      <c r="G18" s="21" t="n">
        <v>375</v>
      </c>
      <c r="H18" s="21" t="n">
        <v>1250</v>
      </c>
      <c r="I18" s="21" t="n">
        <v>3125</v>
      </c>
      <c r="J18" s="22" t="n">
        <f aca="false">F18*G18</f>
        <v>1661.25</v>
      </c>
      <c r="K18" s="22" t="n">
        <f aca="false">F18*H18</f>
        <v>5537.5</v>
      </c>
      <c r="L18" s="22" t="n">
        <f aca="false">F18*I18</f>
        <v>13843.75</v>
      </c>
      <c r="M18" s="5" t="s">
        <v>222</v>
      </c>
    </row>
    <row r="19" customFormat="false" ht="15" hidden="false" customHeight="false" outlineLevel="0" collapsed="false">
      <c r="A19" s="5" t="s">
        <v>557</v>
      </c>
      <c r="B19" s="5" t="s">
        <v>223</v>
      </c>
      <c r="C19" s="5" t="s">
        <v>186</v>
      </c>
      <c r="D19" s="5" t="s">
        <v>224</v>
      </c>
      <c r="E19" s="5" t="s">
        <v>188</v>
      </c>
      <c r="F19" s="21" t="n">
        <v>9.56</v>
      </c>
      <c r="G19" s="21" t="n">
        <v>187.5</v>
      </c>
      <c r="H19" s="21" t="n">
        <v>625</v>
      </c>
      <c r="I19" s="21" t="n">
        <v>1562.5</v>
      </c>
      <c r="J19" s="22" t="n">
        <f aca="false">F19*G19</f>
        <v>1792.5</v>
      </c>
      <c r="K19" s="22" t="n">
        <f aca="false">F19*H19</f>
        <v>5975</v>
      </c>
      <c r="L19" s="22" t="n">
        <f aca="false">F19*I19</f>
        <v>14937.5</v>
      </c>
      <c r="M19" s="5" t="s">
        <v>225</v>
      </c>
    </row>
    <row r="20" customFormat="false" ht="15" hidden="false" customHeight="false" outlineLevel="0" collapsed="false">
      <c r="A20" s="5" t="s">
        <v>557</v>
      </c>
      <c r="B20" s="5" t="s">
        <v>226</v>
      </c>
      <c r="C20" s="5" t="s">
        <v>186</v>
      </c>
      <c r="D20" s="5" t="s">
        <v>227</v>
      </c>
      <c r="E20" s="5" t="s">
        <v>188</v>
      </c>
      <c r="F20" s="21" t="n">
        <v>2.58</v>
      </c>
      <c r="G20" s="21" t="n">
        <v>300</v>
      </c>
      <c r="H20" s="21" t="n">
        <v>1000</v>
      </c>
      <c r="I20" s="21" t="n">
        <v>2500</v>
      </c>
      <c r="J20" s="22" t="n">
        <f aca="false">F20*G20</f>
        <v>774</v>
      </c>
      <c r="K20" s="22" t="n">
        <f aca="false">F20*H20</f>
        <v>2580</v>
      </c>
      <c r="L20" s="22" t="n">
        <f aca="false">F20*I20</f>
        <v>6450</v>
      </c>
      <c r="M20" s="5" t="s">
        <v>228</v>
      </c>
    </row>
    <row r="21" customFormat="false" ht="15" hidden="false" customHeight="false" outlineLevel="0" collapsed="false">
      <c r="A21" s="5" t="s">
        <v>557</v>
      </c>
      <c r="B21" s="5" t="s">
        <v>229</v>
      </c>
      <c r="C21" s="5" t="s">
        <v>186</v>
      </c>
      <c r="D21" s="5" t="s">
        <v>230</v>
      </c>
      <c r="E21" s="5" t="s">
        <v>188</v>
      </c>
      <c r="F21" s="21" t="n">
        <v>10.04</v>
      </c>
      <c r="G21" s="21" t="n">
        <v>150</v>
      </c>
      <c r="H21" s="21" t="n">
        <v>600</v>
      </c>
      <c r="I21" s="21" t="n">
        <v>1500</v>
      </c>
      <c r="J21" s="22" t="n">
        <f aca="false">F21*G21</f>
        <v>1506</v>
      </c>
      <c r="K21" s="22" t="n">
        <f aca="false">F21*H21</f>
        <v>6024</v>
      </c>
      <c r="L21" s="22" t="n">
        <f aca="false">F21*I21</f>
        <v>15060</v>
      </c>
      <c r="M21" s="5" t="s">
        <v>231</v>
      </c>
    </row>
    <row r="22" customFormat="false" ht="15" hidden="false" customHeight="false" outlineLevel="0" collapsed="false">
      <c r="A22" s="5" t="s">
        <v>557</v>
      </c>
      <c r="B22" s="5" t="s">
        <v>232</v>
      </c>
      <c r="C22" s="5" t="s">
        <v>186</v>
      </c>
      <c r="D22" s="5" t="s">
        <v>233</v>
      </c>
      <c r="E22" s="5" t="s">
        <v>188</v>
      </c>
      <c r="F22" s="21" t="n">
        <v>28.42</v>
      </c>
      <c r="G22" s="21" t="n">
        <v>45</v>
      </c>
      <c r="H22" s="21" t="n">
        <v>180</v>
      </c>
      <c r="I22" s="21" t="n">
        <v>450</v>
      </c>
      <c r="J22" s="22" t="n">
        <f aca="false">F22*G22</f>
        <v>1278.9</v>
      </c>
      <c r="K22" s="22" t="n">
        <f aca="false">F22*H22</f>
        <v>5115.6</v>
      </c>
      <c r="L22" s="22" t="n">
        <f aca="false">F22*I22</f>
        <v>12789</v>
      </c>
      <c r="M22" s="5" t="s">
        <v>234</v>
      </c>
    </row>
    <row r="23" customFormat="false" ht="15" hidden="false" customHeight="false" outlineLevel="0" collapsed="false">
      <c r="A23" s="5" t="s">
        <v>557</v>
      </c>
      <c r="B23" s="5" t="s">
        <v>235</v>
      </c>
      <c r="C23" s="5" t="s">
        <v>186</v>
      </c>
      <c r="D23" s="5" t="s">
        <v>236</v>
      </c>
      <c r="E23" s="5" t="s">
        <v>188</v>
      </c>
      <c r="F23" s="21" t="n">
        <v>30.78</v>
      </c>
      <c r="G23" s="21" t="n">
        <v>22.5</v>
      </c>
      <c r="H23" s="21" t="n">
        <v>90</v>
      </c>
      <c r="I23" s="21" t="n">
        <v>225</v>
      </c>
      <c r="J23" s="22" t="n">
        <f aca="false">F23*G23</f>
        <v>692.55</v>
      </c>
      <c r="K23" s="22" t="n">
        <f aca="false">F23*H23</f>
        <v>2770.2</v>
      </c>
      <c r="L23" s="22" t="n">
        <f aca="false">F23*I23</f>
        <v>6925.5</v>
      </c>
      <c r="M23" s="5" t="s">
        <v>237</v>
      </c>
    </row>
    <row r="24" customFormat="false" ht="15" hidden="false" customHeight="false" outlineLevel="0" collapsed="false">
      <c r="A24" s="5" t="s">
        <v>558</v>
      </c>
      <c r="B24" s="5" t="s">
        <v>239</v>
      </c>
      <c r="C24" s="5" t="s">
        <v>186</v>
      </c>
      <c r="D24" s="5" t="s">
        <v>240</v>
      </c>
      <c r="E24" s="5" t="s">
        <v>188</v>
      </c>
      <c r="F24" s="21" t="n">
        <v>101.54</v>
      </c>
      <c r="G24" s="21" t="n">
        <v>187.5</v>
      </c>
      <c r="H24" s="21" t="n">
        <v>625</v>
      </c>
      <c r="I24" s="21" t="n">
        <v>1562.5</v>
      </c>
      <c r="J24" s="22" t="n">
        <f aca="false">F24*G24</f>
        <v>19038.75</v>
      </c>
      <c r="K24" s="22" t="n">
        <f aca="false">F24*H24</f>
        <v>63462.5</v>
      </c>
      <c r="L24" s="22" t="n">
        <f aca="false">F24*I24</f>
        <v>158656.25</v>
      </c>
      <c r="M24" s="5" t="s">
        <v>241</v>
      </c>
    </row>
    <row r="25" customFormat="false" ht="15" hidden="false" customHeight="false" outlineLevel="0" collapsed="false">
      <c r="A25" s="5" t="s">
        <v>558</v>
      </c>
      <c r="B25" s="5" t="s">
        <v>242</v>
      </c>
      <c r="C25" s="5" t="s">
        <v>186</v>
      </c>
      <c r="D25" s="5" t="s">
        <v>243</v>
      </c>
      <c r="E25" s="5" t="s">
        <v>188</v>
      </c>
      <c r="F25" s="21" t="n">
        <v>42.42</v>
      </c>
      <c r="G25" s="21" t="n">
        <v>375</v>
      </c>
      <c r="H25" s="21" t="n">
        <v>1250</v>
      </c>
      <c r="I25" s="21" t="n">
        <v>3125</v>
      </c>
      <c r="J25" s="22" t="n">
        <f aca="false">F25*G25</f>
        <v>15907.5</v>
      </c>
      <c r="K25" s="22" t="n">
        <f aca="false">F25*H25</f>
        <v>53025</v>
      </c>
      <c r="L25" s="22" t="n">
        <f aca="false">F25*I25</f>
        <v>132562.5</v>
      </c>
      <c r="M25" s="5" t="s">
        <v>244</v>
      </c>
    </row>
    <row r="26" customFormat="false" ht="15" hidden="false" customHeight="false" outlineLevel="0" collapsed="false">
      <c r="A26" s="5" t="s">
        <v>558</v>
      </c>
      <c r="B26" s="5" t="s">
        <v>245</v>
      </c>
      <c r="C26" s="5" t="s">
        <v>186</v>
      </c>
      <c r="D26" s="5" t="s">
        <v>246</v>
      </c>
      <c r="E26" s="5" t="s">
        <v>188</v>
      </c>
      <c r="F26" s="21" t="n">
        <v>73.2</v>
      </c>
      <c r="G26" s="21" t="n">
        <v>300</v>
      </c>
      <c r="H26" s="21" t="n">
        <v>1000</v>
      </c>
      <c r="I26" s="21" t="n">
        <v>2500</v>
      </c>
      <c r="J26" s="22" t="n">
        <f aca="false">F26*G26</f>
        <v>21960</v>
      </c>
      <c r="K26" s="22" t="n">
        <f aca="false">F26*H26</f>
        <v>73200</v>
      </c>
      <c r="L26" s="22" t="n">
        <f aca="false">F26*I26</f>
        <v>183000</v>
      </c>
      <c r="M26" s="5" t="s">
        <v>247</v>
      </c>
    </row>
    <row r="27" customFormat="false" ht="15" hidden="false" customHeight="false" outlineLevel="0" collapsed="false">
      <c r="A27" s="5" t="s">
        <v>559</v>
      </c>
      <c r="B27" s="5" t="s">
        <v>249</v>
      </c>
      <c r="C27" s="5" t="s">
        <v>186</v>
      </c>
      <c r="D27" s="5" t="s">
        <v>250</v>
      </c>
      <c r="E27" s="5" t="s">
        <v>188</v>
      </c>
      <c r="F27" s="21" t="n">
        <v>6.03</v>
      </c>
      <c r="G27" s="21" t="n">
        <v>360</v>
      </c>
      <c r="H27" s="21" t="n">
        <v>1440</v>
      </c>
      <c r="I27" s="21" t="n">
        <v>3600</v>
      </c>
      <c r="J27" s="22" t="n">
        <f aca="false">F27*G27</f>
        <v>2170.8</v>
      </c>
      <c r="K27" s="22" t="n">
        <f aca="false">F27*H27</f>
        <v>8683.2</v>
      </c>
      <c r="L27" s="22" t="n">
        <f aca="false">F27*I27</f>
        <v>21708</v>
      </c>
      <c r="M27" s="5" t="s">
        <v>251</v>
      </c>
    </row>
    <row r="28" customFormat="false" ht="15" hidden="false" customHeight="false" outlineLevel="0" collapsed="false">
      <c r="A28" s="5" t="s">
        <v>559</v>
      </c>
      <c r="B28" s="5" t="s">
        <v>252</v>
      </c>
      <c r="C28" s="5" t="s">
        <v>186</v>
      </c>
      <c r="D28" s="5" t="s">
        <v>253</v>
      </c>
      <c r="E28" s="5" t="s">
        <v>188</v>
      </c>
      <c r="F28" s="21" t="n">
        <v>31.79</v>
      </c>
      <c r="G28" s="21" t="n">
        <v>360</v>
      </c>
      <c r="H28" s="21" t="n">
        <v>1440</v>
      </c>
      <c r="I28" s="21" t="n">
        <v>3600</v>
      </c>
      <c r="J28" s="22" t="n">
        <f aca="false">F28*G28</f>
        <v>11444.4</v>
      </c>
      <c r="K28" s="22" t="n">
        <f aca="false">F28*H28</f>
        <v>45777.6</v>
      </c>
      <c r="L28" s="22" t="n">
        <f aca="false">F28*I28</f>
        <v>114444</v>
      </c>
      <c r="M28" s="5" t="s">
        <v>254</v>
      </c>
    </row>
    <row r="29" customFormat="false" ht="15" hidden="false" customHeight="false" outlineLevel="0" collapsed="false">
      <c r="A29" s="5" t="s">
        <v>559</v>
      </c>
      <c r="B29" s="5" t="s">
        <v>255</v>
      </c>
      <c r="C29" s="5" t="s">
        <v>186</v>
      </c>
      <c r="D29" s="5" t="s">
        <v>256</v>
      </c>
      <c r="E29" s="5" t="s">
        <v>188</v>
      </c>
      <c r="F29" s="21" t="n">
        <v>59.3</v>
      </c>
      <c r="G29" s="21" t="n">
        <v>45</v>
      </c>
      <c r="H29" s="21" t="n">
        <v>180</v>
      </c>
      <c r="I29" s="21" t="n">
        <v>450</v>
      </c>
      <c r="J29" s="22" t="n">
        <f aca="false">F29*G29</f>
        <v>2668.5</v>
      </c>
      <c r="K29" s="22" t="n">
        <f aca="false">F29*H29</f>
        <v>10674</v>
      </c>
      <c r="L29" s="22" t="n">
        <f aca="false">F29*I29</f>
        <v>26685</v>
      </c>
      <c r="M29" s="5" t="s">
        <v>257</v>
      </c>
    </row>
    <row r="30" customFormat="false" ht="15" hidden="false" customHeight="false" outlineLevel="0" collapsed="false">
      <c r="A30" s="5" t="s">
        <v>559</v>
      </c>
      <c r="B30" s="5" t="s">
        <v>258</v>
      </c>
      <c r="C30" s="5" t="s">
        <v>186</v>
      </c>
      <c r="D30" s="5" t="s">
        <v>259</v>
      </c>
      <c r="E30" s="5" t="s">
        <v>188</v>
      </c>
      <c r="F30" s="21" t="n">
        <v>58.19</v>
      </c>
      <c r="G30" s="21" t="n">
        <v>150</v>
      </c>
      <c r="H30" s="21" t="n">
        <v>600</v>
      </c>
      <c r="I30" s="21" t="n">
        <v>1500</v>
      </c>
      <c r="J30" s="22" t="n">
        <f aca="false">F30*G30</f>
        <v>8728.5</v>
      </c>
      <c r="K30" s="22" t="n">
        <f aca="false">F30*H30</f>
        <v>34914</v>
      </c>
      <c r="L30" s="22" t="n">
        <f aca="false">F30*I30</f>
        <v>87285</v>
      </c>
      <c r="M30" s="5" t="s">
        <v>260</v>
      </c>
    </row>
    <row r="31" customFormat="false" ht="15" hidden="false" customHeight="false" outlineLevel="0" collapsed="false">
      <c r="A31" s="5" t="s">
        <v>559</v>
      </c>
      <c r="B31" s="5" t="s">
        <v>261</v>
      </c>
      <c r="C31" s="5" t="s">
        <v>186</v>
      </c>
      <c r="D31" s="5" t="s">
        <v>262</v>
      </c>
      <c r="E31" s="5" t="s">
        <v>188</v>
      </c>
      <c r="F31" s="21" t="n">
        <v>50.14</v>
      </c>
      <c r="G31" s="21" t="n">
        <v>150</v>
      </c>
      <c r="H31" s="21" t="n">
        <v>600</v>
      </c>
      <c r="I31" s="21" t="n">
        <v>1500</v>
      </c>
      <c r="J31" s="22" t="n">
        <f aca="false">F31*G31</f>
        <v>7521</v>
      </c>
      <c r="K31" s="22" t="n">
        <f aca="false">F31*H31</f>
        <v>30084</v>
      </c>
      <c r="L31" s="22" t="n">
        <f aca="false">F31*I31</f>
        <v>75210</v>
      </c>
      <c r="M31" s="5" t="s">
        <v>263</v>
      </c>
    </row>
    <row r="32" customFormat="false" ht="15" hidden="false" customHeight="false" outlineLevel="0" collapsed="false">
      <c r="A32" s="5" t="s">
        <v>560</v>
      </c>
      <c r="B32" s="5" t="s">
        <v>265</v>
      </c>
      <c r="C32" s="5" t="s">
        <v>186</v>
      </c>
      <c r="D32" s="5" t="s">
        <v>266</v>
      </c>
      <c r="E32" s="5" t="s">
        <v>188</v>
      </c>
      <c r="F32" s="21" t="n">
        <v>12.33</v>
      </c>
      <c r="G32" s="21" t="n">
        <v>4500</v>
      </c>
      <c r="H32" s="21" t="n">
        <v>6000</v>
      </c>
      <c r="I32" s="21" t="n">
        <v>7500</v>
      </c>
      <c r="J32" s="22" t="n">
        <f aca="false">F32*G32</f>
        <v>55485</v>
      </c>
      <c r="K32" s="22" t="n">
        <f aca="false">F32*H32</f>
        <v>73980</v>
      </c>
      <c r="L32" s="22" t="n">
        <f aca="false">F32*I32</f>
        <v>92475</v>
      </c>
      <c r="M32" s="5" t="s">
        <v>267</v>
      </c>
    </row>
    <row r="33" customFormat="false" ht="15" hidden="false" customHeight="false" outlineLevel="0" collapsed="false">
      <c r="A33" s="5" t="s">
        <v>560</v>
      </c>
      <c r="B33" s="5" t="s">
        <v>268</v>
      </c>
      <c r="C33" s="5" t="s">
        <v>186</v>
      </c>
      <c r="D33" s="5" t="s">
        <v>269</v>
      </c>
      <c r="E33" s="5" t="s">
        <v>188</v>
      </c>
      <c r="F33" s="21" t="n">
        <v>15.25</v>
      </c>
      <c r="G33" s="21" t="n">
        <v>450</v>
      </c>
      <c r="H33" s="21" t="n">
        <v>600</v>
      </c>
      <c r="I33" s="21" t="n">
        <v>750</v>
      </c>
      <c r="J33" s="22" t="n">
        <f aca="false">F33*G33</f>
        <v>6862.5</v>
      </c>
      <c r="K33" s="22" t="n">
        <f aca="false">F33*H33</f>
        <v>9150</v>
      </c>
      <c r="L33" s="22" t="n">
        <f aca="false">F33*I33</f>
        <v>11437.5</v>
      </c>
      <c r="M33" s="5" t="s">
        <v>270</v>
      </c>
    </row>
    <row r="34" customFormat="false" ht="15" hidden="false" customHeight="false" outlineLevel="0" collapsed="false">
      <c r="A34" s="5" t="s">
        <v>374</v>
      </c>
      <c r="B34" s="5" t="s">
        <v>272</v>
      </c>
      <c r="C34" s="5" t="s">
        <v>186</v>
      </c>
      <c r="D34" s="5" t="s">
        <v>273</v>
      </c>
      <c r="E34" s="5" t="s">
        <v>188</v>
      </c>
      <c r="F34" s="21" t="n">
        <v>223.25</v>
      </c>
      <c r="G34" s="21" t="n">
        <v>22.5</v>
      </c>
      <c r="H34" s="21" t="n">
        <v>90</v>
      </c>
      <c r="I34" s="21" t="n">
        <v>225</v>
      </c>
      <c r="J34" s="22" t="n">
        <f aca="false">F34*G34</f>
        <v>5023.125</v>
      </c>
      <c r="K34" s="22" t="n">
        <f aca="false">F34*H34</f>
        <v>20092.5</v>
      </c>
      <c r="L34" s="22" t="n">
        <f aca="false">F34*I34</f>
        <v>50231.25</v>
      </c>
      <c r="M34" s="5" t="s">
        <v>274</v>
      </c>
    </row>
    <row r="35" customFormat="false" ht="15" hidden="false" customHeight="false" outlineLevel="0" collapsed="false">
      <c r="A35" s="5" t="s">
        <v>374</v>
      </c>
      <c r="B35" s="5" t="s">
        <v>275</v>
      </c>
      <c r="C35" s="5" t="s">
        <v>186</v>
      </c>
      <c r="D35" s="5" t="s">
        <v>276</v>
      </c>
      <c r="E35" s="5" t="s">
        <v>277</v>
      </c>
      <c r="F35" s="21" t="n">
        <v>1179.17</v>
      </c>
      <c r="G35" s="21" t="n">
        <v>10</v>
      </c>
      <c r="H35" s="21" t="n">
        <v>40</v>
      </c>
      <c r="I35" s="21" t="n">
        <v>100</v>
      </c>
      <c r="J35" s="22" t="n">
        <f aca="false">F35*G35</f>
        <v>11791.7</v>
      </c>
      <c r="K35" s="22" t="n">
        <f aca="false">F35*H35</f>
        <v>47166.8</v>
      </c>
      <c r="L35" s="22" t="n">
        <f aca="false">F35*I35</f>
        <v>117917</v>
      </c>
      <c r="M35" s="5" t="s">
        <v>278</v>
      </c>
    </row>
    <row r="36" customFormat="false" ht="15" hidden="false" customHeight="false" outlineLevel="0" collapsed="false">
      <c r="A36" s="5" t="s">
        <v>561</v>
      </c>
      <c r="B36" s="5" t="s">
        <v>280</v>
      </c>
      <c r="C36" s="5" t="s">
        <v>186</v>
      </c>
      <c r="D36" s="5" t="s">
        <v>281</v>
      </c>
      <c r="E36" s="5" t="s">
        <v>277</v>
      </c>
      <c r="F36" s="21" t="n">
        <v>53.69</v>
      </c>
      <c r="G36" s="21" t="n">
        <v>50</v>
      </c>
      <c r="H36" s="21" t="n">
        <v>166.67</v>
      </c>
      <c r="I36" s="21" t="n">
        <v>416.67</v>
      </c>
      <c r="J36" s="22" t="n">
        <f aca="false">F36*G36</f>
        <v>2684.5</v>
      </c>
      <c r="K36" s="22" t="n">
        <f aca="false">F36*H36</f>
        <v>8948.5123</v>
      </c>
      <c r="L36" s="22" t="n">
        <f aca="false">F36*I36</f>
        <v>22371.0123</v>
      </c>
      <c r="M36" s="5" t="s">
        <v>282</v>
      </c>
    </row>
    <row r="37" customFormat="false" ht="15" hidden="false" customHeight="false" outlineLevel="0" collapsed="false">
      <c r="A37" s="5" t="s">
        <v>561</v>
      </c>
      <c r="B37" s="5" t="s">
        <v>283</v>
      </c>
      <c r="C37" s="5" t="s">
        <v>186</v>
      </c>
      <c r="D37" s="5" t="s">
        <v>284</v>
      </c>
      <c r="E37" s="5" t="s">
        <v>277</v>
      </c>
      <c r="F37" s="21" t="n">
        <v>30.86</v>
      </c>
      <c r="G37" s="21" t="n">
        <v>37.5</v>
      </c>
      <c r="H37" s="21" t="n">
        <v>125</v>
      </c>
      <c r="I37" s="21" t="n">
        <v>312.5</v>
      </c>
      <c r="J37" s="22" t="n">
        <f aca="false">F37*G37</f>
        <v>1157.25</v>
      </c>
      <c r="K37" s="22" t="n">
        <f aca="false">F37*H37</f>
        <v>3857.5</v>
      </c>
      <c r="L37" s="22" t="n">
        <f aca="false">F37*I37</f>
        <v>9643.75</v>
      </c>
      <c r="M37" s="5" t="s">
        <v>285</v>
      </c>
    </row>
    <row r="38" customFormat="false" ht="15" hidden="false" customHeight="false" outlineLevel="0" collapsed="false">
      <c r="A38" s="5" t="s">
        <v>561</v>
      </c>
      <c r="B38" s="5" t="s">
        <v>286</v>
      </c>
      <c r="C38" s="5" t="s">
        <v>186</v>
      </c>
      <c r="D38" s="5" t="s">
        <v>287</v>
      </c>
      <c r="E38" s="5" t="s">
        <v>194</v>
      </c>
      <c r="F38" s="21" t="n">
        <v>5.48</v>
      </c>
      <c r="G38" s="21" t="n">
        <v>3600</v>
      </c>
      <c r="H38" s="21" t="n">
        <v>12000</v>
      </c>
      <c r="I38" s="21" t="n">
        <v>30000</v>
      </c>
      <c r="J38" s="22" t="n">
        <f aca="false">F38*G38</f>
        <v>19728</v>
      </c>
      <c r="K38" s="22" t="n">
        <f aca="false">F38*H38</f>
        <v>65760</v>
      </c>
      <c r="L38" s="22" t="n">
        <f aca="false">F38*I38</f>
        <v>164400</v>
      </c>
      <c r="M38" s="5" t="s">
        <v>288</v>
      </c>
    </row>
    <row r="39" customFormat="false" ht="15" hidden="false" customHeight="false" outlineLevel="0" collapsed="false">
      <c r="A39" s="5" t="s">
        <v>561</v>
      </c>
      <c r="B39" s="5" t="s">
        <v>289</v>
      </c>
      <c r="C39" s="5" t="s">
        <v>186</v>
      </c>
      <c r="D39" s="5" t="s">
        <v>290</v>
      </c>
      <c r="E39" s="5" t="s">
        <v>194</v>
      </c>
      <c r="F39" s="21" t="n">
        <v>11.2</v>
      </c>
      <c r="G39" s="21" t="n">
        <v>1200</v>
      </c>
      <c r="H39" s="21" t="n">
        <v>4000</v>
      </c>
      <c r="I39" s="21" t="n">
        <v>10000</v>
      </c>
      <c r="J39" s="22" t="n">
        <f aca="false">F39*G39</f>
        <v>13440</v>
      </c>
      <c r="K39" s="22" t="n">
        <f aca="false">F39*H39</f>
        <v>44800</v>
      </c>
      <c r="L39" s="22" t="n">
        <f aca="false">F39*I39</f>
        <v>112000</v>
      </c>
      <c r="M39" s="5" t="s">
        <v>291</v>
      </c>
    </row>
    <row r="40" customFormat="false" ht="15" hidden="false" customHeight="false" outlineLevel="0" collapsed="false">
      <c r="A40" s="5" t="s">
        <v>561</v>
      </c>
      <c r="B40" s="5" t="s">
        <v>292</v>
      </c>
      <c r="C40" s="5" t="s">
        <v>186</v>
      </c>
      <c r="D40" s="5" t="s">
        <v>293</v>
      </c>
      <c r="E40" s="5" t="s">
        <v>277</v>
      </c>
      <c r="F40" s="21" t="n">
        <v>623.29</v>
      </c>
      <c r="G40" s="21" t="n">
        <v>2</v>
      </c>
      <c r="H40" s="21" t="n">
        <v>6.67</v>
      </c>
      <c r="I40" s="21" t="n">
        <v>16.67</v>
      </c>
      <c r="J40" s="22" t="n">
        <f aca="false">F40*G40</f>
        <v>1246.58</v>
      </c>
      <c r="K40" s="22" t="n">
        <f aca="false">F40*H40</f>
        <v>4157.3443</v>
      </c>
      <c r="L40" s="22" t="n">
        <f aca="false">F40*I40</f>
        <v>10390.2443</v>
      </c>
      <c r="M40" s="5" t="s">
        <v>294</v>
      </c>
    </row>
    <row r="41" customFormat="false" ht="15" hidden="false" customHeight="false" outlineLevel="0" collapsed="false">
      <c r="A41" s="5" t="s">
        <v>561</v>
      </c>
      <c r="B41" s="5" t="s">
        <v>295</v>
      </c>
      <c r="C41" s="5" t="s">
        <v>186</v>
      </c>
      <c r="D41" s="5" t="s">
        <v>296</v>
      </c>
      <c r="E41" s="5" t="s">
        <v>277</v>
      </c>
      <c r="F41" s="21" t="n">
        <v>630.3</v>
      </c>
      <c r="G41" s="21" t="n">
        <v>7.5</v>
      </c>
      <c r="H41" s="21" t="n">
        <v>25</v>
      </c>
      <c r="I41" s="21" t="n">
        <v>62.5</v>
      </c>
      <c r="J41" s="22" t="n">
        <f aca="false">F41*G41</f>
        <v>4727.25</v>
      </c>
      <c r="K41" s="22" t="n">
        <f aca="false">F41*H41</f>
        <v>15757.5</v>
      </c>
      <c r="L41" s="22" t="n">
        <f aca="false">F41*I41</f>
        <v>39393.75</v>
      </c>
      <c r="M41" s="5" t="s">
        <v>297</v>
      </c>
    </row>
    <row r="42" customFormat="false" ht="15" hidden="false" customHeight="false" outlineLevel="0" collapsed="false">
      <c r="A42" s="5" t="s">
        <v>561</v>
      </c>
      <c r="B42" s="5" t="s">
        <v>298</v>
      </c>
      <c r="C42" s="5" t="s">
        <v>186</v>
      </c>
      <c r="D42" s="5" t="s">
        <v>299</v>
      </c>
      <c r="E42" s="5" t="s">
        <v>277</v>
      </c>
      <c r="F42" s="21" t="n">
        <v>368.02</v>
      </c>
      <c r="G42" s="21" t="n">
        <v>7.5</v>
      </c>
      <c r="H42" s="21" t="n">
        <v>25</v>
      </c>
      <c r="I42" s="21" t="n">
        <v>62.5</v>
      </c>
      <c r="J42" s="22" t="n">
        <f aca="false">F42*G42</f>
        <v>2760.15</v>
      </c>
      <c r="K42" s="22" t="n">
        <f aca="false">F42*H42</f>
        <v>9200.5</v>
      </c>
      <c r="L42" s="22" t="n">
        <f aca="false">F42*I42</f>
        <v>23001.25</v>
      </c>
      <c r="M42" s="5" t="s">
        <v>300</v>
      </c>
    </row>
    <row r="43" customFormat="false" ht="15" hidden="false" customHeight="false" outlineLevel="0" collapsed="false">
      <c r="A43" s="5" t="s">
        <v>561</v>
      </c>
      <c r="B43" s="5" t="s">
        <v>301</v>
      </c>
      <c r="C43" s="5" t="s">
        <v>186</v>
      </c>
      <c r="D43" s="5" t="s">
        <v>302</v>
      </c>
      <c r="E43" s="5" t="s">
        <v>194</v>
      </c>
      <c r="F43" s="21" t="n">
        <v>43.26</v>
      </c>
      <c r="G43" s="21" t="n">
        <v>90</v>
      </c>
      <c r="H43" s="21" t="n">
        <v>300</v>
      </c>
      <c r="I43" s="21" t="n">
        <v>750</v>
      </c>
      <c r="J43" s="22" t="n">
        <f aca="false">F43*G43</f>
        <v>3893.4</v>
      </c>
      <c r="K43" s="22" t="n">
        <f aca="false">F43*H43</f>
        <v>12978</v>
      </c>
      <c r="L43" s="22" t="n">
        <f aca="false">F43*I43</f>
        <v>32445</v>
      </c>
      <c r="M43" s="5" t="s">
        <v>303</v>
      </c>
    </row>
    <row r="44" customFormat="false" ht="15" hidden="false" customHeight="false" outlineLevel="0" collapsed="false">
      <c r="A44" s="5" t="s">
        <v>562</v>
      </c>
      <c r="B44" s="5" t="s">
        <v>305</v>
      </c>
      <c r="C44" s="5" t="s">
        <v>186</v>
      </c>
      <c r="D44" s="5" t="s">
        <v>306</v>
      </c>
      <c r="E44" s="5" t="s">
        <v>277</v>
      </c>
      <c r="F44" s="21" t="n">
        <v>288.1</v>
      </c>
      <c r="G44" s="21" t="n">
        <v>10</v>
      </c>
      <c r="H44" s="21" t="n">
        <v>13.33</v>
      </c>
      <c r="I44" s="21" t="n">
        <v>16.67</v>
      </c>
      <c r="J44" s="22" t="n">
        <f aca="false">F44*G44</f>
        <v>2881</v>
      </c>
      <c r="K44" s="22" t="n">
        <f aca="false">F44*H44</f>
        <v>3840.373</v>
      </c>
      <c r="L44" s="22" t="n">
        <f aca="false">F44*I44</f>
        <v>4802.627</v>
      </c>
      <c r="M44" s="5" t="s">
        <v>307</v>
      </c>
    </row>
    <row r="45" customFormat="false" ht="15" hidden="false" customHeight="false" outlineLevel="0" collapsed="false">
      <c r="A45" s="5" t="s">
        <v>562</v>
      </c>
      <c r="B45" s="5" t="s">
        <v>308</v>
      </c>
      <c r="C45" s="5" t="s">
        <v>186</v>
      </c>
      <c r="D45" s="5" t="s">
        <v>309</v>
      </c>
      <c r="E45" s="5" t="s">
        <v>277</v>
      </c>
      <c r="F45" s="21" t="n">
        <v>17.96</v>
      </c>
      <c r="G45" s="21" t="n">
        <v>30</v>
      </c>
      <c r="H45" s="21" t="n">
        <v>40</v>
      </c>
      <c r="I45" s="21" t="n">
        <v>50</v>
      </c>
      <c r="J45" s="22" t="n">
        <f aca="false">F45*G45</f>
        <v>538.8</v>
      </c>
      <c r="K45" s="22" t="n">
        <f aca="false">F45*H45</f>
        <v>718.4</v>
      </c>
      <c r="L45" s="22" t="n">
        <f aca="false">F45*I45</f>
        <v>898</v>
      </c>
      <c r="M45" s="5" t="s">
        <v>310</v>
      </c>
    </row>
    <row r="46" customFormat="false" ht="15" hidden="false" customHeight="false" outlineLevel="0" collapsed="false">
      <c r="A46" s="5" t="s">
        <v>562</v>
      </c>
      <c r="B46" s="5" t="s">
        <v>311</v>
      </c>
      <c r="C46" s="5" t="s">
        <v>192</v>
      </c>
      <c r="D46" s="5" t="s">
        <v>312</v>
      </c>
      <c r="E46" s="5" t="s">
        <v>277</v>
      </c>
      <c r="F46" s="21" t="n">
        <v>20.47</v>
      </c>
      <c r="G46" s="21" t="n">
        <v>30</v>
      </c>
      <c r="H46" s="21" t="n">
        <v>40</v>
      </c>
      <c r="I46" s="21" t="n">
        <v>50</v>
      </c>
      <c r="J46" s="22" t="n">
        <f aca="false">F46*G46</f>
        <v>614.1</v>
      </c>
      <c r="K46" s="22" t="n">
        <f aca="false">F46*H46</f>
        <v>818.8</v>
      </c>
      <c r="L46" s="22" t="n">
        <f aca="false">F46*I46</f>
        <v>1023.5</v>
      </c>
      <c r="M46" s="5" t="s">
        <v>313</v>
      </c>
    </row>
    <row r="47" customFormat="false" ht="15" hidden="false" customHeight="false" outlineLevel="0" collapsed="false">
      <c r="A47" s="5" t="s">
        <v>563</v>
      </c>
      <c r="B47" s="5" t="s">
        <v>315</v>
      </c>
      <c r="C47" s="5" t="s">
        <v>186</v>
      </c>
      <c r="D47" s="5" t="s">
        <v>316</v>
      </c>
      <c r="E47" s="5" t="s">
        <v>317</v>
      </c>
      <c r="F47" s="21" t="n">
        <v>9.88</v>
      </c>
      <c r="G47" s="21" t="n">
        <v>75</v>
      </c>
      <c r="H47" s="21" t="n">
        <v>100</v>
      </c>
      <c r="I47" s="21" t="n">
        <v>125</v>
      </c>
      <c r="J47" s="22" t="n">
        <f aca="false">F47*G47</f>
        <v>741</v>
      </c>
      <c r="K47" s="22" t="n">
        <f aca="false">F47*H47</f>
        <v>988</v>
      </c>
      <c r="L47" s="22" t="n">
        <f aca="false">F47*I47</f>
        <v>1235</v>
      </c>
      <c r="M47" s="5" t="s">
        <v>318</v>
      </c>
    </row>
    <row r="48" customFormat="false" ht="15" hidden="false" customHeight="false" outlineLevel="0" collapsed="false">
      <c r="A48" s="5" t="s">
        <v>563</v>
      </c>
      <c r="B48" s="5" t="s">
        <v>319</v>
      </c>
      <c r="C48" s="5" t="s">
        <v>186</v>
      </c>
      <c r="D48" s="5" t="s">
        <v>320</v>
      </c>
      <c r="E48" s="5" t="s">
        <v>321</v>
      </c>
      <c r="F48" s="21" t="n">
        <v>2.83</v>
      </c>
      <c r="G48" s="21" t="n">
        <v>750</v>
      </c>
      <c r="H48" s="21" t="n">
        <v>1000</v>
      </c>
      <c r="I48" s="21" t="n">
        <v>1250</v>
      </c>
      <c r="J48" s="22" t="n">
        <f aca="false">F48*G48</f>
        <v>2122.5</v>
      </c>
      <c r="K48" s="22" t="n">
        <f aca="false">F48*H48</f>
        <v>2830</v>
      </c>
      <c r="L48" s="22" t="n">
        <f aca="false">F48*I48</f>
        <v>3537.5</v>
      </c>
      <c r="M48" s="5" t="s">
        <v>322</v>
      </c>
    </row>
    <row r="49" customFormat="false" ht="15" hidden="false" customHeight="false" outlineLevel="0" collapsed="false">
      <c r="I49" s="7" t="s">
        <v>323</v>
      </c>
      <c r="J49" s="23" t="n">
        <f aca="false">SUM(J17:J48)</f>
        <v>235571.325</v>
      </c>
      <c r="K49" s="23" t="n">
        <f aca="false">SUM(K17:K48)</f>
        <v>675596.6496</v>
      </c>
      <c r="L49" s="23" t="n">
        <f aca="false">SUM(L17:L48)</f>
        <v>1569488.7036</v>
      </c>
    </row>
    <row r="50" customFormat="false" ht="15" hidden="false" customHeight="false" outlineLevel="0" collapsed="false">
      <c r="I50" s="7" t="s">
        <v>324</v>
      </c>
      <c r="J50" s="24" t="n">
        <f aca="false">PARAMETROS!$B$6</f>
        <v>0.2034</v>
      </c>
      <c r="K50" s="24" t="n">
        <f aca="false">PARAMETROS!$C$6</f>
        <v>0.2212</v>
      </c>
      <c r="L50" s="24" t="n">
        <f aca="false">PARAMETROS!$D$6</f>
        <v>0.25</v>
      </c>
    </row>
    <row r="51" customFormat="false" ht="15" hidden="false" customHeight="false" outlineLevel="0" collapsed="false">
      <c r="I51" s="7" t="s">
        <v>325</v>
      </c>
      <c r="J51" s="24" t="n">
        <f aca="false">PARAMETROS!$B$8</f>
        <v>0.05</v>
      </c>
      <c r="K51" s="24" t="n">
        <f aca="false">PARAMETROS!$C$8</f>
        <v>0.1</v>
      </c>
      <c r="L51" s="24" t="n">
        <f aca="false">PARAMETROS!$D$8</f>
        <v>0.15</v>
      </c>
    </row>
    <row r="52" customFormat="false" ht="15" hidden="false" customHeight="false" outlineLevel="0" collapsed="false">
      <c r="I52" s="7" t="s">
        <v>155</v>
      </c>
      <c r="J52" s="25" t="n">
        <f aca="false">PARAMETROS!$B$9</f>
        <v>1</v>
      </c>
      <c r="K52" s="25" t="n">
        <f aca="false">PARAMETROS!$C$9</f>
        <v>1</v>
      </c>
      <c r="L52" s="25" t="n">
        <f aca="false">PARAMETROS!$D$9</f>
        <v>1.1</v>
      </c>
    </row>
    <row r="53" customFormat="false" ht="15" hidden="false" customHeight="false" outlineLevel="0" collapsed="false">
      <c r="I53" s="7" t="s">
        <v>326</v>
      </c>
      <c r="J53" s="8" t="n">
        <f aca="false">J49*(1+J50)*(1+J51)*J52</f>
        <v>297660.85913025</v>
      </c>
      <c r="K53" s="8" t="n">
        <f aca="false">K49*(1+K50)*(1+K51)*K52</f>
        <v>907542.491340672</v>
      </c>
      <c r="L53" s="8" t="n">
        <f aca="false">L49*(1+L50)*(1+L51)*L52</f>
        <v>2481754.0125675</v>
      </c>
    </row>
    <row r="55" customFormat="false" ht="15" hidden="false" customHeight="false" outlineLevel="0" collapsed="false">
      <c r="A55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564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48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28</v>
      </c>
    </row>
    <row r="8" customFormat="false" ht="15" hidden="false" customHeight="false" outlineLevel="0" collapsed="false">
      <c r="A8" s="7" t="s">
        <v>160</v>
      </c>
      <c r="B8" s="10" t="s">
        <v>565</v>
      </c>
    </row>
    <row r="9" customFormat="false" ht="15" hidden="false" customHeight="false" outlineLevel="0" collapsed="false">
      <c r="A9" s="7" t="s">
        <v>9</v>
      </c>
      <c r="B9" s="10" t="s">
        <v>50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404</v>
      </c>
    </row>
    <row r="12" customFormat="false" ht="15" hidden="false" customHeight="false" outlineLevel="0" collapsed="false">
      <c r="A12" s="7" t="s">
        <v>166</v>
      </c>
      <c r="B12" s="20" t="s">
        <v>566</v>
      </c>
    </row>
    <row r="13" customFormat="false" ht="15" hidden="false" customHeight="false" outlineLevel="0" collapsed="false">
      <c r="B13" s="20" t="s">
        <v>567</v>
      </c>
    </row>
    <row r="14" customFormat="false" ht="15" hidden="false" customHeight="false" outlineLevel="0" collapsed="false">
      <c r="B14" s="20" t="s">
        <v>407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408</v>
      </c>
    </row>
    <row r="18" customFormat="false" ht="15" hidden="false" customHeight="false" outlineLevel="0" collapsed="false">
      <c r="A18" s="5" t="s">
        <v>409</v>
      </c>
      <c r="B18" s="5" t="s">
        <v>410</v>
      </c>
      <c r="C18" s="5" t="s">
        <v>186</v>
      </c>
      <c r="D18" s="5" t="s">
        <v>411</v>
      </c>
      <c r="E18" s="5" t="s">
        <v>317</v>
      </c>
      <c r="F18" s="21" t="n">
        <v>10.58</v>
      </c>
      <c r="G18" s="21" t="n">
        <v>288</v>
      </c>
      <c r="H18" s="21" t="n">
        <v>0</v>
      </c>
      <c r="I18" s="21" t="n">
        <v>0</v>
      </c>
      <c r="J18" s="22" t="n">
        <f aca="false">F18*G18</f>
        <v>3047.04</v>
      </c>
      <c r="K18" s="22" t="n">
        <f aca="false">F18*H18</f>
        <v>0</v>
      </c>
      <c r="L18" s="22" t="n">
        <f aca="false">F18*I18</f>
        <v>0</v>
      </c>
      <c r="M18" s="5" t="s">
        <v>568</v>
      </c>
    </row>
    <row r="19" customFormat="false" ht="15" hidden="false" customHeight="false" outlineLevel="0" collapsed="false">
      <c r="A19" s="5" t="s">
        <v>409</v>
      </c>
      <c r="B19" s="5" t="s">
        <v>487</v>
      </c>
      <c r="C19" s="5" t="s">
        <v>186</v>
      </c>
      <c r="D19" s="5" t="s">
        <v>488</v>
      </c>
      <c r="E19" s="5" t="s">
        <v>194</v>
      </c>
      <c r="F19" s="21" t="n">
        <v>351.67</v>
      </c>
      <c r="G19" s="21" t="n">
        <v>150</v>
      </c>
      <c r="H19" s="21" t="n">
        <v>250</v>
      </c>
      <c r="I19" s="21" t="n">
        <v>0</v>
      </c>
      <c r="J19" s="22" t="n">
        <f aca="false">F19*G19</f>
        <v>52750.5</v>
      </c>
      <c r="K19" s="22" t="n">
        <f aca="false">F19*H19</f>
        <v>87917.5</v>
      </c>
      <c r="L19" s="22" t="n">
        <f aca="false">F19*I19</f>
        <v>0</v>
      </c>
      <c r="M19" s="5" t="s">
        <v>489</v>
      </c>
    </row>
    <row r="20" customFormat="false" ht="15" hidden="false" customHeight="false" outlineLevel="0" collapsed="false">
      <c r="A20" s="5" t="s">
        <v>409</v>
      </c>
      <c r="B20" s="5" t="s">
        <v>416</v>
      </c>
      <c r="C20" s="5" t="s">
        <v>186</v>
      </c>
      <c r="D20" s="5" t="s">
        <v>417</v>
      </c>
      <c r="E20" s="5" t="s">
        <v>317</v>
      </c>
      <c r="F20" s="21" t="n">
        <v>20.26</v>
      </c>
      <c r="G20" s="21" t="n">
        <v>230.27</v>
      </c>
      <c r="H20" s="21" t="n">
        <v>383.79</v>
      </c>
      <c r="I20" s="21" t="n">
        <v>753.53</v>
      </c>
      <c r="J20" s="22" t="n">
        <f aca="false">F20*G20</f>
        <v>4665.2702</v>
      </c>
      <c r="K20" s="22" t="n">
        <f aca="false">F20*H20</f>
        <v>7775.5854</v>
      </c>
      <c r="L20" s="22" t="n">
        <f aca="false">F20*I20</f>
        <v>15266.5178</v>
      </c>
      <c r="M20" s="5" t="s">
        <v>418</v>
      </c>
    </row>
    <row r="21" customFormat="false" ht="15" hidden="false" customHeight="false" outlineLevel="0" collapsed="false">
      <c r="A21" s="5" t="s">
        <v>409</v>
      </c>
      <c r="B21" s="5" t="s">
        <v>490</v>
      </c>
      <c r="C21" s="5" t="s">
        <v>186</v>
      </c>
      <c r="D21" s="5" t="s">
        <v>491</v>
      </c>
      <c r="E21" s="5" t="s">
        <v>277</v>
      </c>
      <c r="F21" s="21" t="n">
        <v>1613.82</v>
      </c>
      <c r="G21" s="21" t="n">
        <v>5</v>
      </c>
      <c r="H21" s="21" t="n">
        <v>8</v>
      </c>
      <c r="I21" s="21" t="n">
        <v>0</v>
      </c>
      <c r="J21" s="22" t="n">
        <f aca="false">F21*G21</f>
        <v>8069.1</v>
      </c>
      <c r="K21" s="22" t="n">
        <f aca="false">F21*H21</f>
        <v>12910.56</v>
      </c>
      <c r="L21" s="22" t="n">
        <f aca="false">F21*I21</f>
        <v>0</v>
      </c>
      <c r="M21" s="5" t="s">
        <v>421</v>
      </c>
    </row>
    <row r="22" customFormat="false" ht="15" hidden="false" customHeight="false" outlineLevel="0" collapsed="false">
      <c r="A22" s="5" t="s">
        <v>409</v>
      </c>
      <c r="B22" s="5" t="s">
        <v>492</v>
      </c>
      <c r="C22" s="5" t="s">
        <v>186</v>
      </c>
      <c r="D22" s="5" t="s">
        <v>493</v>
      </c>
      <c r="E22" s="5" t="s">
        <v>194</v>
      </c>
      <c r="F22" s="21" t="n">
        <v>634.89</v>
      </c>
      <c r="G22" s="21" t="n">
        <v>2.5</v>
      </c>
      <c r="H22" s="21" t="n">
        <v>4</v>
      </c>
      <c r="I22" s="21" t="n">
        <v>0</v>
      </c>
      <c r="J22" s="22" t="n">
        <f aca="false">F22*G22</f>
        <v>1587.225</v>
      </c>
      <c r="K22" s="22" t="n">
        <f aca="false">F22*H22</f>
        <v>2539.56</v>
      </c>
      <c r="L22" s="22" t="n">
        <f aca="false">F22*I22</f>
        <v>0</v>
      </c>
      <c r="M22" s="5" t="s">
        <v>424</v>
      </c>
    </row>
    <row r="23" customFormat="false" ht="15" hidden="false" customHeight="false" outlineLevel="0" collapsed="false">
      <c r="A23" s="5" t="s">
        <v>409</v>
      </c>
      <c r="B23" s="5" t="s">
        <v>425</v>
      </c>
      <c r="C23" s="5" t="s">
        <v>186</v>
      </c>
      <c r="D23" s="5" t="s">
        <v>426</v>
      </c>
      <c r="E23" s="5" t="s">
        <v>277</v>
      </c>
      <c r="F23" s="21" t="n">
        <v>1812.94</v>
      </c>
      <c r="G23" s="21" t="n">
        <v>8</v>
      </c>
      <c r="H23" s="21" t="n">
        <v>14</v>
      </c>
      <c r="I23" s="21" t="n">
        <v>20</v>
      </c>
      <c r="J23" s="22" t="n">
        <f aca="false">F23*G23</f>
        <v>14503.52</v>
      </c>
      <c r="K23" s="22" t="n">
        <f aca="false">F23*H23</f>
        <v>25381.16</v>
      </c>
      <c r="L23" s="22" t="n">
        <f aca="false">F23*I23</f>
        <v>36258.8</v>
      </c>
      <c r="M23" s="5" t="s">
        <v>427</v>
      </c>
    </row>
    <row r="24" customFormat="false" ht="15" hidden="false" customHeight="false" outlineLevel="0" collapsed="false">
      <c r="A24" s="5" t="s">
        <v>409</v>
      </c>
      <c r="B24" s="5" t="s">
        <v>428</v>
      </c>
      <c r="C24" s="5" t="s">
        <v>186</v>
      </c>
      <c r="D24" s="5" t="s">
        <v>429</v>
      </c>
      <c r="E24" s="5" t="s">
        <v>194</v>
      </c>
      <c r="F24" s="21" t="n">
        <v>188.74</v>
      </c>
      <c r="G24" s="21" t="n">
        <v>32</v>
      </c>
      <c r="H24" s="21" t="n">
        <v>56</v>
      </c>
      <c r="I24" s="21" t="n">
        <v>80</v>
      </c>
      <c r="J24" s="22" t="n">
        <f aca="false">F24*G24</f>
        <v>6039.68</v>
      </c>
      <c r="K24" s="22" t="n">
        <f aca="false">F24*H24</f>
        <v>10569.44</v>
      </c>
      <c r="L24" s="22" t="n">
        <f aca="false">F24*I24</f>
        <v>15099.2</v>
      </c>
      <c r="M24" s="5" t="s">
        <v>430</v>
      </c>
    </row>
    <row r="25" customFormat="false" ht="15" hidden="false" customHeight="false" outlineLevel="0" collapsed="false">
      <c r="A25" s="5" t="s">
        <v>409</v>
      </c>
      <c r="B25" s="5" t="s">
        <v>315</v>
      </c>
      <c r="C25" s="5" t="s">
        <v>186</v>
      </c>
      <c r="D25" s="5" t="s">
        <v>316</v>
      </c>
      <c r="E25" s="5" t="s">
        <v>317</v>
      </c>
      <c r="F25" s="21" t="n">
        <v>9.88</v>
      </c>
      <c r="G25" s="21" t="n">
        <v>57.73</v>
      </c>
      <c r="H25" s="21" t="n">
        <v>96.21</v>
      </c>
      <c r="I25" s="21" t="n">
        <v>254.47</v>
      </c>
      <c r="J25" s="22" t="n">
        <f aca="false">F25*G25</f>
        <v>570.3724</v>
      </c>
      <c r="K25" s="22" t="n">
        <f aca="false">F25*H25</f>
        <v>950.5548</v>
      </c>
      <c r="L25" s="22" t="n">
        <f aca="false">F25*I25</f>
        <v>2514.1636</v>
      </c>
      <c r="M25" s="5" t="s">
        <v>431</v>
      </c>
    </row>
    <row r="26" customFormat="false" ht="15" hidden="false" customHeight="false" outlineLevel="0" collapsed="false">
      <c r="A26" s="5" t="s">
        <v>409</v>
      </c>
      <c r="B26" s="5" t="s">
        <v>319</v>
      </c>
      <c r="C26" s="5" t="s">
        <v>186</v>
      </c>
      <c r="D26" s="5" t="s">
        <v>320</v>
      </c>
      <c r="E26" s="5" t="s">
        <v>321</v>
      </c>
      <c r="F26" s="21" t="n">
        <v>2.83</v>
      </c>
      <c r="G26" s="21" t="n">
        <v>577.27</v>
      </c>
      <c r="H26" s="21" t="n">
        <v>962.11</v>
      </c>
      <c r="I26" s="21" t="n">
        <v>2544.69</v>
      </c>
      <c r="J26" s="22" t="n">
        <f aca="false">F26*G26</f>
        <v>1633.6741</v>
      </c>
      <c r="K26" s="22" t="n">
        <f aca="false">F26*H26</f>
        <v>2722.7713</v>
      </c>
      <c r="L26" s="22" t="n">
        <f aca="false">F26*I26</f>
        <v>7201.4727</v>
      </c>
      <c r="M26" s="5" t="s">
        <v>432</v>
      </c>
    </row>
    <row r="27" customFormat="false" ht="15" hidden="false" customHeight="false" outlineLevel="0" collapsed="false">
      <c r="A27" s="5" t="s">
        <v>433</v>
      </c>
      <c r="B27" s="5" t="s">
        <v>434</v>
      </c>
      <c r="C27" s="5" t="s">
        <v>186</v>
      </c>
      <c r="D27" s="5" t="s">
        <v>435</v>
      </c>
      <c r="E27" s="5" t="s">
        <v>317</v>
      </c>
      <c r="F27" s="21" t="n">
        <v>232.27</v>
      </c>
      <c r="G27" s="21" t="n">
        <v>42</v>
      </c>
      <c r="H27" s="21" t="n">
        <v>70</v>
      </c>
      <c r="I27" s="21" t="n">
        <v>0</v>
      </c>
      <c r="J27" s="22" t="n">
        <f aca="false">F27*G27</f>
        <v>9755.34</v>
      </c>
      <c r="K27" s="22" t="n">
        <f aca="false">F27*H27</f>
        <v>16258.9</v>
      </c>
      <c r="L27" s="22" t="n">
        <f aca="false">F27*I27</f>
        <v>0</v>
      </c>
      <c r="M27" s="5" t="s">
        <v>494</v>
      </c>
    </row>
    <row r="28" customFormat="false" ht="15" hidden="false" customHeight="false" outlineLevel="0" collapsed="false">
      <c r="A28" s="5" t="s">
        <v>433</v>
      </c>
      <c r="B28" s="5" t="s">
        <v>437</v>
      </c>
      <c r="C28" s="5" t="s">
        <v>186</v>
      </c>
      <c r="D28" s="5" t="s">
        <v>438</v>
      </c>
      <c r="E28" s="5" t="s">
        <v>317</v>
      </c>
      <c r="F28" s="21" t="n">
        <v>2136.03</v>
      </c>
      <c r="G28" s="21" t="n">
        <v>10.5</v>
      </c>
      <c r="H28" s="21" t="n">
        <v>17.5</v>
      </c>
      <c r="I28" s="21" t="n">
        <v>32</v>
      </c>
      <c r="J28" s="22" t="n">
        <f aca="false">F28*G28</f>
        <v>22428.315</v>
      </c>
      <c r="K28" s="22" t="n">
        <f aca="false">F28*H28</f>
        <v>37380.525</v>
      </c>
      <c r="L28" s="22" t="n">
        <f aca="false">F28*I28</f>
        <v>68352.96</v>
      </c>
      <c r="M28" s="5" t="s">
        <v>439</v>
      </c>
    </row>
    <row r="29" customFormat="false" ht="15" hidden="false" customHeight="false" outlineLevel="0" collapsed="false">
      <c r="A29" s="5" t="s">
        <v>409</v>
      </c>
      <c r="B29" s="5" t="s">
        <v>410</v>
      </c>
      <c r="C29" s="5" t="s">
        <v>186</v>
      </c>
      <c r="D29" s="5" t="s">
        <v>411</v>
      </c>
      <c r="E29" s="5" t="s">
        <v>317</v>
      </c>
      <c r="F29" s="21" t="n">
        <v>10.58</v>
      </c>
      <c r="G29" s="21" t="n">
        <v>0</v>
      </c>
      <c r="H29" s="21" t="n">
        <v>480</v>
      </c>
      <c r="I29" s="21" t="n">
        <v>0</v>
      </c>
      <c r="J29" s="22" t="n">
        <f aca="false">F29*G29</f>
        <v>0</v>
      </c>
      <c r="K29" s="22" t="n">
        <f aca="false">F29*H29</f>
        <v>5078.4</v>
      </c>
      <c r="L29" s="22" t="n">
        <f aca="false">F29*I29</f>
        <v>0</v>
      </c>
      <c r="M29" s="5" t="s">
        <v>569</v>
      </c>
    </row>
    <row r="30" customFormat="false" ht="15" hidden="false" customHeight="false" outlineLevel="0" collapsed="false">
      <c r="A30" s="5" t="s">
        <v>409</v>
      </c>
      <c r="B30" s="5" t="s">
        <v>410</v>
      </c>
      <c r="C30" s="5" t="s">
        <v>186</v>
      </c>
      <c r="D30" s="5" t="s">
        <v>411</v>
      </c>
      <c r="E30" s="5" t="s">
        <v>317</v>
      </c>
      <c r="F30" s="21" t="n">
        <v>10.58</v>
      </c>
      <c r="G30" s="21" t="n">
        <v>0</v>
      </c>
      <c r="H30" s="21" t="n">
        <v>0</v>
      </c>
      <c r="I30" s="21" t="n">
        <v>1008</v>
      </c>
      <c r="J30" s="22" t="n">
        <f aca="false">F30*G30</f>
        <v>0</v>
      </c>
      <c r="K30" s="22" t="n">
        <f aca="false">F30*H30</f>
        <v>0</v>
      </c>
      <c r="L30" s="22" t="n">
        <f aca="false">F30*I30</f>
        <v>10664.64</v>
      </c>
      <c r="M30" s="5" t="s">
        <v>570</v>
      </c>
    </row>
    <row r="31" customFormat="false" ht="15" hidden="false" customHeight="false" outlineLevel="0" collapsed="false">
      <c r="A31" s="5" t="s">
        <v>409</v>
      </c>
      <c r="B31" s="5" t="s">
        <v>413</v>
      </c>
      <c r="C31" s="5" t="s">
        <v>186</v>
      </c>
      <c r="D31" s="5" t="s">
        <v>414</v>
      </c>
      <c r="E31" s="5" t="s">
        <v>194</v>
      </c>
      <c r="F31" s="21" t="n">
        <v>567.96</v>
      </c>
      <c r="G31" s="21" t="n">
        <v>0</v>
      </c>
      <c r="H31" s="21" t="n">
        <v>0</v>
      </c>
      <c r="I31" s="21" t="n">
        <v>400</v>
      </c>
      <c r="J31" s="22" t="n">
        <f aca="false">F31*G31</f>
        <v>0</v>
      </c>
      <c r="K31" s="22" t="n">
        <f aca="false">F31*H31</f>
        <v>0</v>
      </c>
      <c r="L31" s="22" t="n">
        <f aca="false">F31*I31</f>
        <v>227184</v>
      </c>
      <c r="M31" s="5" t="s">
        <v>415</v>
      </c>
    </row>
    <row r="32" customFormat="false" ht="15" hidden="false" customHeight="false" outlineLevel="0" collapsed="false">
      <c r="A32" s="5" t="s">
        <v>409</v>
      </c>
      <c r="B32" s="5" t="s">
        <v>419</v>
      </c>
      <c r="C32" s="5" t="s">
        <v>186</v>
      </c>
      <c r="D32" s="5" t="s">
        <v>420</v>
      </c>
      <c r="E32" s="5" t="s">
        <v>277</v>
      </c>
      <c r="F32" s="21" t="n">
        <v>2008.56</v>
      </c>
      <c r="G32" s="21" t="n">
        <v>0</v>
      </c>
      <c r="H32" s="21" t="n">
        <v>0</v>
      </c>
      <c r="I32" s="21" t="n">
        <v>11</v>
      </c>
      <c r="J32" s="22" t="n">
        <f aca="false">F32*G32</f>
        <v>0</v>
      </c>
      <c r="K32" s="22" t="n">
        <f aca="false">F32*H32</f>
        <v>0</v>
      </c>
      <c r="L32" s="22" t="n">
        <f aca="false">F32*I32</f>
        <v>22094.16</v>
      </c>
      <c r="M32" s="5" t="s">
        <v>421</v>
      </c>
    </row>
    <row r="33" customFormat="false" ht="15" hidden="false" customHeight="false" outlineLevel="0" collapsed="false">
      <c r="A33" s="5" t="s">
        <v>409</v>
      </c>
      <c r="B33" s="5" t="s">
        <v>422</v>
      </c>
      <c r="C33" s="5" t="s">
        <v>186</v>
      </c>
      <c r="D33" s="5" t="s">
        <v>423</v>
      </c>
      <c r="E33" s="5" t="s">
        <v>194</v>
      </c>
      <c r="F33" s="21" t="n">
        <v>844.48</v>
      </c>
      <c r="G33" s="21" t="n">
        <v>0</v>
      </c>
      <c r="H33" s="21" t="n">
        <v>0</v>
      </c>
      <c r="I33" s="21" t="n">
        <v>5.5</v>
      </c>
      <c r="J33" s="22" t="n">
        <f aca="false">F33*G33</f>
        <v>0</v>
      </c>
      <c r="K33" s="22" t="n">
        <f aca="false">F33*H33</f>
        <v>0</v>
      </c>
      <c r="L33" s="22" t="n">
        <f aca="false">F33*I33</f>
        <v>4644.64</v>
      </c>
      <c r="M33" s="5" t="s">
        <v>424</v>
      </c>
    </row>
    <row r="34" customFormat="false" ht="15" hidden="false" customHeight="false" outlineLevel="0" collapsed="false">
      <c r="A34" s="5" t="s">
        <v>433</v>
      </c>
      <c r="B34" s="5" t="s">
        <v>434</v>
      </c>
      <c r="C34" s="5" t="s">
        <v>186</v>
      </c>
      <c r="D34" s="5" t="s">
        <v>435</v>
      </c>
      <c r="E34" s="5" t="s">
        <v>317</v>
      </c>
      <c r="F34" s="21" t="n">
        <v>232.27</v>
      </c>
      <c r="G34" s="21" t="n">
        <v>0</v>
      </c>
      <c r="H34" s="21" t="n">
        <v>0</v>
      </c>
      <c r="I34" s="21" t="n">
        <v>128</v>
      </c>
      <c r="J34" s="22" t="n">
        <f aca="false">F34*G34</f>
        <v>0</v>
      </c>
      <c r="K34" s="22" t="n">
        <f aca="false">F34*H34</f>
        <v>0</v>
      </c>
      <c r="L34" s="22" t="n">
        <f aca="false">F34*I34</f>
        <v>29730.56</v>
      </c>
      <c r="M34" s="5" t="s">
        <v>436</v>
      </c>
    </row>
    <row r="35" customFormat="false" ht="15" hidden="false" customHeight="false" outlineLevel="0" collapsed="false">
      <c r="I35" s="7" t="s">
        <v>323</v>
      </c>
      <c r="J35" s="23" t="n">
        <f aca="false">SUM(J17:J34)</f>
        <v>127779.8567</v>
      </c>
      <c r="K35" s="23" t="n">
        <f aca="false">SUM(K17:K34)</f>
        <v>212214.7765</v>
      </c>
      <c r="L35" s="23" t="n">
        <f aca="false">SUM(L17:L34)</f>
        <v>441740.9341</v>
      </c>
    </row>
    <row r="36" customFormat="false" ht="15" hidden="false" customHeight="false" outlineLevel="0" collapsed="false">
      <c r="I36" s="7" t="s">
        <v>324</v>
      </c>
      <c r="J36" s="24" t="n">
        <f aca="false">PARAMETROS!$B$7</f>
        <v>0.196</v>
      </c>
      <c r="K36" s="24" t="n">
        <f aca="false">PARAMETROS!$C$7</f>
        <v>0.2097</v>
      </c>
      <c r="L36" s="24" t="n">
        <f aca="false">PARAMETROS!$D$7</f>
        <v>0.2423</v>
      </c>
    </row>
    <row r="37" customFormat="false" ht="15" hidden="false" customHeight="false" outlineLevel="0" collapsed="false">
      <c r="I37" s="7" t="s">
        <v>325</v>
      </c>
      <c r="J37" s="24" t="n">
        <f aca="false">PARAMETROS!$B$8</f>
        <v>0.05</v>
      </c>
      <c r="K37" s="24" t="n">
        <f aca="false">PARAMETROS!$C$8</f>
        <v>0.1</v>
      </c>
      <c r="L37" s="24" t="n">
        <f aca="false">PARAMETROS!$D$8</f>
        <v>0.15</v>
      </c>
    </row>
    <row r="38" customFormat="false" ht="15" hidden="false" customHeight="false" outlineLevel="0" collapsed="false">
      <c r="I38" s="7" t="s">
        <v>155</v>
      </c>
      <c r="J38" s="25" t="n">
        <f aca="false">PARAMETROS!$B$9</f>
        <v>1</v>
      </c>
      <c r="K38" s="25" t="n">
        <f aca="false">PARAMETROS!$C$9</f>
        <v>1</v>
      </c>
      <c r="L38" s="25" t="n">
        <f aca="false">PARAMETROS!$D$9</f>
        <v>1.1</v>
      </c>
    </row>
    <row r="39" customFormat="false" ht="15" hidden="false" customHeight="false" outlineLevel="0" collapsed="false">
      <c r="I39" s="7" t="s">
        <v>326</v>
      </c>
      <c r="J39" s="8" t="n">
        <f aca="false">J35*(1+J36)*(1+J37)*J38</f>
        <v>160465.94404386</v>
      </c>
      <c r="K39" s="8" t="n">
        <f aca="false">K35*(1+K36)*(1+K37)*K38</f>
        <v>282387.836645255</v>
      </c>
      <c r="L39" s="8" t="n">
        <f aca="false">L35*(1+L36)*(1+L37)*L38</f>
        <v>694200.074477024</v>
      </c>
    </row>
    <row r="41" customFormat="false" ht="15" hidden="false" customHeight="false" outlineLevel="0" collapsed="false">
      <c r="A41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571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52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16</v>
      </c>
    </row>
    <row r="7" customFormat="false" ht="15" hidden="false" customHeight="false" outlineLevel="0" collapsed="false">
      <c r="A7" s="7" t="s">
        <v>8</v>
      </c>
      <c r="B7" s="10" t="s">
        <v>28</v>
      </c>
    </row>
    <row r="8" customFormat="false" ht="15" hidden="false" customHeight="false" outlineLevel="0" collapsed="false">
      <c r="A8" s="7" t="s">
        <v>160</v>
      </c>
      <c r="B8" s="10" t="s">
        <v>572</v>
      </c>
    </row>
    <row r="9" customFormat="false" ht="15" hidden="false" customHeight="false" outlineLevel="0" collapsed="false">
      <c r="A9" s="7" t="s">
        <v>9</v>
      </c>
      <c r="B9" s="10" t="s">
        <v>54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404</v>
      </c>
    </row>
    <row r="12" customFormat="false" ht="15" hidden="false" customHeight="false" outlineLevel="0" collapsed="false">
      <c r="A12" s="7" t="s">
        <v>166</v>
      </c>
      <c r="B12" s="20" t="s">
        <v>573</v>
      </c>
    </row>
    <row r="13" customFormat="false" ht="15" hidden="false" customHeight="false" outlineLevel="0" collapsed="false">
      <c r="B13" s="20" t="s">
        <v>574</v>
      </c>
    </row>
    <row r="14" customFormat="false" ht="15" hidden="false" customHeight="false" outlineLevel="0" collapsed="false">
      <c r="B14" s="20" t="s">
        <v>575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408</v>
      </c>
    </row>
    <row r="18" customFormat="false" ht="15" hidden="false" customHeight="false" outlineLevel="0" collapsed="false">
      <c r="A18" s="5" t="s">
        <v>333</v>
      </c>
      <c r="B18" s="5" t="s">
        <v>502</v>
      </c>
      <c r="C18" s="5" t="s">
        <v>186</v>
      </c>
      <c r="D18" s="5" t="s">
        <v>503</v>
      </c>
      <c r="E18" s="5" t="s">
        <v>188</v>
      </c>
      <c r="F18" s="21" t="n">
        <v>0.76</v>
      </c>
      <c r="G18" s="21" t="n">
        <v>1110</v>
      </c>
      <c r="H18" s="21" t="n">
        <v>2250</v>
      </c>
      <c r="I18" s="21" t="n">
        <v>4400</v>
      </c>
      <c r="J18" s="22" t="n">
        <f aca="false">F18*G18</f>
        <v>843.6</v>
      </c>
      <c r="K18" s="22" t="n">
        <f aca="false">F18*H18</f>
        <v>1710</v>
      </c>
      <c r="L18" s="22" t="n">
        <f aca="false">F18*I18</f>
        <v>3344</v>
      </c>
      <c r="M18" s="5" t="s">
        <v>576</v>
      </c>
    </row>
    <row r="19" customFormat="false" ht="15" hidden="false" customHeight="false" outlineLevel="0" collapsed="false">
      <c r="A19" s="5" t="s">
        <v>409</v>
      </c>
      <c r="B19" s="5" t="s">
        <v>410</v>
      </c>
      <c r="C19" s="5" t="s">
        <v>186</v>
      </c>
      <c r="D19" s="5" t="s">
        <v>411</v>
      </c>
      <c r="E19" s="5" t="s">
        <v>317</v>
      </c>
      <c r="F19" s="21" t="n">
        <v>10.58</v>
      </c>
      <c r="G19" s="21" t="n">
        <v>288</v>
      </c>
      <c r="H19" s="21" t="n">
        <v>0</v>
      </c>
      <c r="I19" s="21" t="n">
        <v>0</v>
      </c>
      <c r="J19" s="22" t="n">
        <f aca="false">F19*G19</f>
        <v>3047.04</v>
      </c>
      <c r="K19" s="22" t="n">
        <f aca="false">F19*H19</f>
        <v>0</v>
      </c>
      <c r="L19" s="22" t="n">
        <f aca="false">F19*I19</f>
        <v>0</v>
      </c>
      <c r="M19" s="5" t="s">
        <v>568</v>
      </c>
    </row>
    <row r="20" customFormat="false" ht="15" hidden="false" customHeight="false" outlineLevel="0" collapsed="false">
      <c r="A20" s="5" t="s">
        <v>409</v>
      </c>
      <c r="B20" s="5" t="s">
        <v>487</v>
      </c>
      <c r="C20" s="5" t="s">
        <v>186</v>
      </c>
      <c r="D20" s="5" t="s">
        <v>488</v>
      </c>
      <c r="E20" s="5" t="s">
        <v>194</v>
      </c>
      <c r="F20" s="21" t="n">
        <v>351.67</v>
      </c>
      <c r="G20" s="21" t="n">
        <v>150</v>
      </c>
      <c r="H20" s="21" t="n">
        <v>250</v>
      </c>
      <c r="I20" s="21" t="n">
        <v>0</v>
      </c>
      <c r="J20" s="22" t="n">
        <f aca="false">F20*G20</f>
        <v>52750.5</v>
      </c>
      <c r="K20" s="22" t="n">
        <f aca="false">F20*H20</f>
        <v>87917.5</v>
      </c>
      <c r="L20" s="22" t="n">
        <f aca="false">F20*I20</f>
        <v>0</v>
      </c>
      <c r="M20" s="5" t="s">
        <v>489</v>
      </c>
    </row>
    <row r="21" customFormat="false" ht="15" hidden="false" customHeight="false" outlineLevel="0" collapsed="false">
      <c r="A21" s="5" t="s">
        <v>409</v>
      </c>
      <c r="B21" s="5" t="s">
        <v>416</v>
      </c>
      <c r="C21" s="5" t="s">
        <v>186</v>
      </c>
      <c r="D21" s="5" t="s">
        <v>417</v>
      </c>
      <c r="E21" s="5" t="s">
        <v>317</v>
      </c>
      <c r="F21" s="21" t="n">
        <v>20.26</v>
      </c>
      <c r="G21" s="21" t="n">
        <v>230.27</v>
      </c>
      <c r="H21" s="21" t="n">
        <v>383.79</v>
      </c>
      <c r="I21" s="21" t="n">
        <v>753.53</v>
      </c>
      <c r="J21" s="22" t="n">
        <f aca="false">F21*G21</f>
        <v>4665.2702</v>
      </c>
      <c r="K21" s="22" t="n">
        <f aca="false">F21*H21</f>
        <v>7775.5854</v>
      </c>
      <c r="L21" s="22" t="n">
        <f aca="false">F21*I21</f>
        <v>15266.5178</v>
      </c>
      <c r="M21" s="5" t="s">
        <v>418</v>
      </c>
    </row>
    <row r="22" customFormat="false" ht="15" hidden="false" customHeight="false" outlineLevel="0" collapsed="false">
      <c r="A22" s="5" t="s">
        <v>409</v>
      </c>
      <c r="B22" s="5" t="s">
        <v>490</v>
      </c>
      <c r="C22" s="5" t="s">
        <v>186</v>
      </c>
      <c r="D22" s="5" t="s">
        <v>491</v>
      </c>
      <c r="E22" s="5" t="s">
        <v>277</v>
      </c>
      <c r="F22" s="21" t="n">
        <v>1613.82</v>
      </c>
      <c r="G22" s="21" t="n">
        <v>5</v>
      </c>
      <c r="H22" s="21" t="n">
        <v>8</v>
      </c>
      <c r="I22" s="21" t="n">
        <v>0</v>
      </c>
      <c r="J22" s="22" t="n">
        <f aca="false">F22*G22</f>
        <v>8069.1</v>
      </c>
      <c r="K22" s="22" t="n">
        <f aca="false">F22*H22</f>
        <v>12910.56</v>
      </c>
      <c r="L22" s="22" t="n">
        <f aca="false">F22*I22</f>
        <v>0</v>
      </c>
      <c r="M22" s="5" t="s">
        <v>421</v>
      </c>
    </row>
    <row r="23" customFormat="false" ht="15" hidden="false" customHeight="false" outlineLevel="0" collapsed="false">
      <c r="A23" s="5" t="s">
        <v>409</v>
      </c>
      <c r="B23" s="5" t="s">
        <v>492</v>
      </c>
      <c r="C23" s="5" t="s">
        <v>186</v>
      </c>
      <c r="D23" s="5" t="s">
        <v>493</v>
      </c>
      <c r="E23" s="5" t="s">
        <v>194</v>
      </c>
      <c r="F23" s="21" t="n">
        <v>634.89</v>
      </c>
      <c r="G23" s="21" t="n">
        <v>2.5</v>
      </c>
      <c r="H23" s="21" t="n">
        <v>4</v>
      </c>
      <c r="I23" s="21" t="n">
        <v>0</v>
      </c>
      <c r="J23" s="22" t="n">
        <f aca="false">F23*G23</f>
        <v>1587.225</v>
      </c>
      <c r="K23" s="22" t="n">
        <f aca="false">F23*H23</f>
        <v>2539.56</v>
      </c>
      <c r="L23" s="22" t="n">
        <f aca="false">F23*I23</f>
        <v>0</v>
      </c>
      <c r="M23" s="5" t="s">
        <v>424</v>
      </c>
    </row>
    <row r="24" customFormat="false" ht="15" hidden="false" customHeight="false" outlineLevel="0" collapsed="false">
      <c r="A24" s="5" t="s">
        <v>409</v>
      </c>
      <c r="B24" s="5" t="s">
        <v>425</v>
      </c>
      <c r="C24" s="5" t="s">
        <v>186</v>
      </c>
      <c r="D24" s="5" t="s">
        <v>426</v>
      </c>
      <c r="E24" s="5" t="s">
        <v>277</v>
      </c>
      <c r="F24" s="21" t="n">
        <v>1812.94</v>
      </c>
      <c r="G24" s="21" t="n">
        <v>8</v>
      </c>
      <c r="H24" s="21" t="n">
        <v>14</v>
      </c>
      <c r="I24" s="21" t="n">
        <v>20</v>
      </c>
      <c r="J24" s="22" t="n">
        <f aca="false">F24*G24</f>
        <v>14503.52</v>
      </c>
      <c r="K24" s="22" t="n">
        <f aca="false">F24*H24</f>
        <v>25381.16</v>
      </c>
      <c r="L24" s="22" t="n">
        <f aca="false">F24*I24</f>
        <v>36258.8</v>
      </c>
      <c r="M24" s="5" t="s">
        <v>427</v>
      </c>
    </row>
    <row r="25" customFormat="false" ht="15" hidden="false" customHeight="false" outlineLevel="0" collapsed="false">
      <c r="A25" s="5" t="s">
        <v>409</v>
      </c>
      <c r="B25" s="5" t="s">
        <v>428</v>
      </c>
      <c r="C25" s="5" t="s">
        <v>186</v>
      </c>
      <c r="D25" s="5" t="s">
        <v>429</v>
      </c>
      <c r="E25" s="5" t="s">
        <v>194</v>
      </c>
      <c r="F25" s="21" t="n">
        <v>188.74</v>
      </c>
      <c r="G25" s="21" t="n">
        <v>32</v>
      </c>
      <c r="H25" s="21" t="n">
        <v>56</v>
      </c>
      <c r="I25" s="21" t="n">
        <v>80</v>
      </c>
      <c r="J25" s="22" t="n">
        <f aca="false">F25*G25</f>
        <v>6039.68</v>
      </c>
      <c r="K25" s="22" t="n">
        <f aca="false">F25*H25</f>
        <v>10569.44</v>
      </c>
      <c r="L25" s="22" t="n">
        <f aca="false">F25*I25</f>
        <v>15099.2</v>
      </c>
      <c r="M25" s="5" t="s">
        <v>430</v>
      </c>
    </row>
    <row r="26" customFormat="false" ht="15" hidden="false" customHeight="false" outlineLevel="0" collapsed="false">
      <c r="A26" s="5" t="s">
        <v>409</v>
      </c>
      <c r="B26" s="5" t="s">
        <v>315</v>
      </c>
      <c r="C26" s="5" t="s">
        <v>186</v>
      </c>
      <c r="D26" s="5" t="s">
        <v>316</v>
      </c>
      <c r="E26" s="5" t="s">
        <v>317</v>
      </c>
      <c r="F26" s="21" t="n">
        <v>9.88</v>
      </c>
      <c r="G26" s="21" t="n">
        <v>57.73</v>
      </c>
      <c r="H26" s="21" t="n">
        <v>96.21</v>
      </c>
      <c r="I26" s="21" t="n">
        <v>254.47</v>
      </c>
      <c r="J26" s="22" t="n">
        <f aca="false">F26*G26</f>
        <v>570.3724</v>
      </c>
      <c r="K26" s="22" t="n">
        <f aca="false">F26*H26</f>
        <v>950.5548</v>
      </c>
      <c r="L26" s="22" t="n">
        <f aca="false">F26*I26</f>
        <v>2514.1636</v>
      </c>
      <c r="M26" s="5" t="s">
        <v>431</v>
      </c>
    </row>
    <row r="27" customFormat="false" ht="15" hidden="false" customHeight="false" outlineLevel="0" collapsed="false">
      <c r="A27" s="5" t="s">
        <v>409</v>
      </c>
      <c r="B27" s="5" t="s">
        <v>319</v>
      </c>
      <c r="C27" s="5" t="s">
        <v>186</v>
      </c>
      <c r="D27" s="5" t="s">
        <v>320</v>
      </c>
      <c r="E27" s="5" t="s">
        <v>321</v>
      </c>
      <c r="F27" s="21" t="n">
        <v>2.83</v>
      </c>
      <c r="G27" s="21" t="n">
        <v>577.27</v>
      </c>
      <c r="H27" s="21" t="n">
        <v>962.11</v>
      </c>
      <c r="I27" s="21" t="n">
        <v>2544.69</v>
      </c>
      <c r="J27" s="22" t="n">
        <f aca="false">F27*G27</f>
        <v>1633.6741</v>
      </c>
      <c r="K27" s="22" t="n">
        <f aca="false">F27*H27</f>
        <v>2722.7713</v>
      </c>
      <c r="L27" s="22" t="n">
        <f aca="false">F27*I27</f>
        <v>7201.4727</v>
      </c>
      <c r="M27" s="5" t="s">
        <v>432</v>
      </c>
    </row>
    <row r="28" customFormat="false" ht="15" hidden="false" customHeight="false" outlineLevel="0" collapsed="false">
      <c r="A28" s="5" t="s">
        <v>577</v>
      </c>
      <c r="B28" s="5" t="s">
        <v>511</v>
      </c>
      <c r="C28" s="5" t="s">
        <v>186</v>
      </c>
      <c r="D28" s="5" t="s">
        <v>512</v>
      </c>
      <c r="E28" s="5" t="s">
        <v>188</v>
      </c>
      <c r="F28" s="21" t="n">
        <v>3.35</v>
      </c>
      <c r="G28" s="21" t="n">
        <v>750</v>
      </c>
      <c r="H28" s="21" t="n">
        <v>1500</v>
      </c>
      <c r="I28" s="21" t="n">
        <v>2800</v>
      </c>
      <c r="J28" s="22" t="n">
        <f aca="false">F28*G28</f>
        <v>2512.5</v>
      </c>
      <c r="K28" s="22" t="n">
        <f aca="false">F28*H28</f>
        <v>5025</v>
      </c>
      <c r="L28" s="22" t="n">
        <f aca="false">F28*I28</f>
        <v>9380</v>
      </c>
      <c r="M28" s="5" t="s">
        <v>578</v>
      </c>
    </row>
    <row r="29" customFormat="false" ht="15" hidden="false" customHeight="false" outlineLevel="0" collapsed="false">
      <c r="A29" s="5" t="s">
        <v>577</v>
      </c>
      <c r="B29" s="5" t="s">
        <v>514</v>
      </c>
      <c r="C29" s="5" t="s">
        <v>186</v>
      </c>
      <c r="D29" s="5" t="s">
        <v>515</v>
      </c>
      <c r="E29" s="5" t="s">
        <v>317</v>
      </c>
      <c r="F29" s="21" t="n">
        <v>216.4</v>
      </c>
      <c r="G29" s="21" t="n">
        <v>112.5</v>
      </c>
      <c r="H29" s="21" t="n">
        <v>0</v>
      </c>
      <c r="I29" s="21" t="n">
        <v>0</v>
      </c>
      <c r="J29" s="22" t="n">
        <f aca="false">F29*G29</f>
        <v>24345</v>
      </c>
      <c r="K29" s="22" t="n">
        <f aca="false">F29*H29</f>
        <v>0</v>
      </c>
      <c r="L29" s="22" t="n">
        <f aca="false">F29*I29</f>
        <v>0</v>
      </c>
      <c r="M29" s="5" t="s">
        <v>579</v>
      </c>
    </row>
    <row r="30" customFormat="false" ht="15" hidden="false" customHeight="false" outlineLevel="0" collapsed="false">
      <c r="A30" s="5" t="s">
        <v>577</v>
      </c>
      <c r="B30" s="5" t="s">
        <v>319</v>
      </c>
      <c r="C30" s="5" t="s">
        <v>186</v>
      </c>
      <c r="D30" s="5" t="s">
        <v>320</v>
      </c>
      <c r="E30" s="5" t="s">
        <v>321</v>
      </c>
      <c r="F30" s="21" t="n">
        <v>2.83</v>
      </c>
      <c r="G30" s="21" t="n">
        <v>2250</v>
      </c>
      <c r="H30" s="21" t="n">
        <v>6000</v>
      </c>
      <c r="I30" s="21" t="n">
        <v>0</v>
      </c>
      <c r="J30" s="22" t="n">
        <f aca="false">F30*G30</f>
        <v>6367.5</v>
      </c>
      <c r="K30" s="22" t="n">
        <f aca="false">F30*H30</f>
        <v>16980</v>
      </c>
      <c r="L30" s="22" t="n">
        <f aca="false">F30*I30</f>
        <v>0</v>
      </c>
      <c r="M30" s="5" t="s">
        <v>580</v>
      </c>
    </row>
    <row r="31" customFormat="false" ht="15" hidden="false" customHeight="false" outlineLevel="0" collapsed="false">
      <c r="A31" s="5" t="s">
        <v>577</v>
      </c>
      <c r="B31" s="5" t="s">
        <v>581</v>
      </c>
      <c r="C31" s="5" t="s">
        <v>186</v>
      </c>
      <c r="D31" s="5" t="s">
        <v>582</v>
      </c>
      <c r="E31" s="5" t="s">
        <v>317</v>
      </c>
      <c r="F31" s="21" t="n">
        <v>1620.91</v>
      </c>
      <c r="G31" s="21" t="n">
        <v>30</v>
      </c>
      <c r="H31" s="21" t="n">
        <v>0</v>
      </c>
      <c r="I31" s="21" t="n">
        <v>0</v>
      </c>
      <c r="J31" s="22" t="n">
        <f aca="false">F31*G31</f>
        <v>48627.3</v>
      </c>
      <c r="K31" s="22" t="n">
        <f aca="false">F31*H31</f>
        <v>0</v>
      </c>
      <c r="L31" s="22" t="n">
        <f aca="false">F31*I31</f>
        <v>0</v>
      </c>
      <c r="M31" s="5" t="s">
        <v>583</v>
      </c>
    </row>
    <row r="32" customFormat="false" ht="15" hidden="false" customHeight="false" outlineLevel="0" collapsed="false">
      <c r="A32" s="5" t="s">
        <v>577</v>
      </c>
      <c r="B32" s="5" t="s">
        <v>319</v>
      </c>
      <c r="C32" s="5" t="s">
        <v>186</v>
      </c>
      <c r="D32" s="5" t="s">
        <v>320</v>
      </c>
      <c r="E32" s="5" t="s">
        <v>321</v>
      </c>
      <c r="F32" s="21" t="n">
        <v>2.83</v>
      </c>
      <c r="G32" s="21" t="n">
        <v>900</v>
      </c>
      <c r="H32" s="21" t="n">
        <v>2250</v>
      </c>
      <c r="I32" s="21" t="n">
        <v>0</v>
      </c>
      <c r="J32" s="22" t="n">
        <f aca="false">F32*G32</f>
        <v>2547</v>
      </c>
      <c r="K32" s="22" t="n">
        <f aca="false">F32*H32</f>
        <v>6367.5</v>
      </c>
      <c r="L32" s="22" t="n">
        <f aca="false">F32*I32</f>
        <v>0</v>
      </c>
      <c r="M32" s="5" t="s">
        <v>584</v>
      </c>
    </row>
    <row r="33" customFormat="false" ht="15" hidden="false" customHeight="false" outlineLevel="0" collapsed="false">
      <c r="A33" s="5" t="s">
        <v>585</v>
      </c>
      <c r="B33" s="5" t="s">
        <v>586</v>
      </c>
      <c r="C33" s="5" t="s">
        <v>186</v>
      </c>
      <c r="D33" s="5" t="s">
        <v>587</v>
      </c>
      <c r="E33" s="5" t="s">
        <v>194</v>
      </c>
      <c r="F33" s="21" t="n">
        <v>42.52</v>
      </c>
      <c r="G33" s="21" t="n">
        <v>300</v>
      </c>
      <c r="H33" s="21" t="n">
        <v>500</v>
      </c>
      <c r="I33" s="21" t="n">
        <v>800</v>
      </c>
      <c r="J33" s="22" t="n">
        <f aca="false">F33*G33</f>
        <v>12756</v>
      </c>
      <c r="K33" s="22" t="n">
        <f aca="false">F33*H33</f>
        <v>21260</v>
      </c>
      <c r="L33" s="22" t="n">
        <f aca="false">F33*I33</f>
        <v>34016</v>
      </c>
      <c r="M33" s="5" t="s">
        <v>588</v>
      </c>
    </row>
    <row r="34" customFormat="false" ht="15" hidden="false" customHeight="false" outlineLevel="0" collapsed="false">
      <c r="A34" s="5" t="s">
        <v>585</v>
      </c>
      <c r="B34" s="5" t="s">
        <v>589</v>
      </c>
      <c r="C34" s="5" t="s">
        <v>186</v>
      </c>
      <c r="D34" s="5" t="s">
        <v>590</v>
      </c>
      <c r="E34" s="5" t="s">
        <v>194</v>
      </c>
      <c r="F34" s="21" t="n">
        <v>41.61</v>
      </c>
      <c r="G34" s="21" t="n">
        <v>300</v>
      </c>
      <c r="H34" s="21" t="n">
        <v>500</v>
      </c>
      <c r="I34" s="21" t="n">
        <v>800</v>
      </c>
      <c r="J34" s="22" t="n">
        <f aca="false">F34*G34</f>
        <v>12483</v>
      </c>
      <c r="K34" s="22" t="n">
        <f aca="false">F34*H34</f>
        <v>20805</v>
      </c>
      <c r="L34" s="22" t="n">
        <f aca="false">F34*I34</f>
        <v>33288</v>
      </c>
      <c r="M34" s="5" t="s">
        <v>591</v>
      </c>
    </row>
    <row r="35" customFormat="false" ht="15" hidden="false" customHeight="false" outlineLevel="0" collapsed="false">
      <c r="A35" s="5" t="s">
        <v>585</v>
      </c>
      <c r="B35" s="5" t="s">
        <v>367</v>
      </c>
      <c r="C35" s="5" t="s">
        <v>186</v>
      </c>
      <c r="D35" s="5" t="s">
        <v>368</v>
      </c>
      <c r="E35" s="5" t="s">
        <v>188</v>
      </c>
      <c r="F35" s="21" t="n">
        <v>91.17</v>
      </c>
      <c r="G35" s="21" t="n">
        <v>360</v>
      </c>
      <c r="H35" s="21" t="n">
        <v>750</v>
      </c>
      <c r="I35" s="21" t="n">
        <v>1600</v>
      </c>
      <c r="J35" s="22" t="n">
        <f aca="false">F35*G35</f>
        <v>32821.2</v>
      </c>
      <c r="K35" s="22" t="n">
        <f aca="false">F35*H35</f>
        <v>68377.5</v>
      </c>
      <c r="L35" s="22" t="n">
        <f aca="false">F35*I35</f>
        <v>145872</v>
      </c>
      <c r="M35" s="5" t="s">
        <v>592</v>
      </c>
    </row>
    <row r="36" customFormat="false" ht="15" hidden="false" customHeight="false" outlineLevel="0" collapsed="false">
      <c r="A36" s="5" t="s">
        <v>585</v>
      </c>
      <c r="B36" s="5" t="s">
        <v>593</v>
      </c>
      <c r="C36" s="5" t="s">
        <v>186</v>
      </c>
      <c r="D36" s="5" t="s">
        <v>594</v>
      </c>
      <c r="E36" s="5" t="s">
        <v>277</v>
      </c>
      <c r="F36" s="21" t="n">
        <v>898.57</v>
      </c>
      <c r="G36" s="21" t="n">
        <v>6</v>
      </c>
      <c r="H36" s="21" t="n">
        <v>10</v>
      </c>
      <c r="I36" s="21" t="n">
        <v>16</v>
      </c>
      <c r="J36" s="22" t="n">
        <f aca="false">F36*G36</f>
        <v>5391.42</v>
      </c>
      <c r="K36" s="22" t="n">
        <f aca="false">F36*H36</f>
        <v>8985.7</v>
      </c>
      <c r="L36" s="22" t="n">
        <f aca="false">F36*I36</f>
        <v>14377.12</v>
      </c>
      <c r="M36" s="5" t="s">
        <v>595</v>
      </c>
    </row>
    <row r="37" customFormat="false" ht="15" hidden="false" customHeight="false" outlineLevel="0" collapsed="false">
      <c r="A37" s="5" t="s">
        <v>596</v>
      </c>
      <c r="B37" s="5" t="s">
        <v>597</v>
      </c>
      <c r="C37" s="5" t="s">
        <v>186</v>
      </c>
      <c r="D37" s="5" t="s">
        <v>598</v>
      </c>
      <c r="E37" s="5" t="s">
        <v>188</v>
      </c>
      <c r="F37" s="21" t="n">
        <v>29.88</v>
      </c>
      <c r="G37" s="21" t="n">
        <v>24</v>
      </c>
      <c r="H37" s="21" t="n">
        <v>36</v>
      </c>
      <c r="I37" s="21" t="n">
        <v>48</v>
      </c>
      <c r="J37" s="22" t="n">
        <f aca="false">F37*G37</f>
        <v>717.12</v>
      </c>
      <c r="K37" s="22" t="n">
        <f aca="false">F37*H37</f>
        <v>1075.68</v>
      </c>
      <c r="L37" s="22" t="n">
        <f aca="false">F37*I37</f>
        <v>1434.24</v>
      </c>
      <c r="M37" s="5" t="s">
        <v>599</v>
      </c>
    </row>
    <row r="38" customFormat="false" ht="15" hidden="false" customHeight="false" outlineLevel="0" collapsed="false">
      <c r="A38" s="5" t="s">
        <v>409</v>
      </c>
      <c r="B38" s="5" t="s">
        <v>410</v>
      </c>
      <c r="C38" s="5" t="s">
        <v>186</v>
      </c>
      <c r="D38" s="5" t="s">
        <v>411</v>
      </c>
      <c r="E38" s="5" t="s">
        <v>317</v>
      </c>
      <c r="F38" s="21" t="n">
        <v>10.58</v>
      </c>
      <c r="G38" s="21" t="n">
        <v>0</v>
      </c>
      <c r="H38" s="21" t="n">
        <v>480</v>
      </c>
      <c r="I38" s="21" t="n">
        <v>0</v>
      </c>
      <c r="J38" s="22" t="n">
        <f aca="false">F38*G38</f>
        <v>0</v>
      </c>
      <c r="K38" s="22" t="n">
        <f aca="false">F38*H38</f>
        <v>5078.4</v>
      </c>
      <c r="L38" s="22" t="n">
        <f aca="false">F38*I38</f>
        <v>0</v>
      </c>
      <c r="M38" s="5" t="s">
        <v>569</v>
      </c>
    </row>
    <row r="39" customFormat="false" ht="15" hidden="false" customHeight="false" outlineLevel="0" collapsed="false">
      <c r="A39" s="5" t="s">
        <v>577</v>
      </c>
      <c r="B39" s="5" t="s">
        <v>514</v>
      </c>
      <c r="C39" s="5" t="s">
        <v>186</v>
      </c>
      <c r="D39" s="5" t="s">
        <v>515</v>
      </c>
      <c r="E39" s="5" t="s">
        <v>317</v>
      </c>
      <c r="F39" s="21" t="n">
        <v>216.4</v>
      </c>
      <c r="G39" s="21" t="n">
        <v>0</v>
      </c>
      <c r="H39" s="21" t="n">
        <v>300</v>
      </c>
      <c r="I39" s="21" t="n">
        <v>0</v>
      </c>
      <c r="J39" s="22" t="n">
        <f aca="false">F39*G39</f>
        <v>0</v>
      </c>
      <c r="K39" s="22" t="n">
        <f aca="false">F39*H39</f>
        <v>64920</v>
      </c>
      <c r="L39" s="22" t="n">
        <f aca="false">F39*I39</f>
        <v>0</v>
      </c>
      <c r="M39" s="5" t="s">
        <v>600</v>
      </c>
    </row>
    <row r="40" customFormat="false" ht="15" hidden="false" customHeight="false" outlineLevel="0" collapsed="false">
      <c r="A40" s="5" t="s">
        <v>577</v>
      </c>
      <c r="B40" s="5" t="s">
        <v>581</v>
      </c>
      <c r="C40" s="5" t="s">
        <v>186</v>
      </c>
      <c r="D40" s="5" t="s">
        <v>582</v>
      </c>
      <c r="E40" s="5" t="s">
        <v>317</v>
      </c>
      <c r="F40" s="21" t="n">
        <v>1620.91</v>
      </c>
      <c r="G40" s="21" t="n">
        <v>0</v>
      </c>
      <c r="H40" s="21" t="n">
        <v>75</v>
      </c>
      <c r="I40" s="21" t="n">
        <v>140</v>
      </c>
      <c r="J40" s="22" t="n">
        <f aca="false">F40*G40</f>
        <v>0</v>
      </c>
      <c r="K40" s="22" t="n">
        <f aca="false">F40*H40</f>
        <v>121568.25</v>
      </c>
      <c r="L40" s="22" t="n">
        <f aca="false">F40*I40</f>
        <v>226927.4</v>
      </c>
      <c r="M40" s="5" t="s">
        <v>601</v>
      </c>
    </row>
    <row r="41" customFormat="false" ht="15" hidden="false" customHeight="false" outlineLevel="0" collapsed="false">
      <c r="A41" s="5" t="s">
        <v>409</v>
      </c>
      <c r="B41" s="5" t="s">
        <v>410</v>
      </c>
      <c r="C41" s="5" t="s">
        <v>186</v>
      </c>
      <c r="D41" s="5" t="s">
        <v>411</v>
      </c>
      <c r="E41" s="5" t="s">
        <v>317</v>
      </c>
      <c r="F41" s="21" t="n">
        <v>10.58</v>
      </c>
      <c r="G41" s="21" t="n">
        <v>0</v>
      </c>
      <c r="H41" s="21" t="n">
        <v>0</v>
      </c>
      <c r="I41" s="21" t="n">
        <v>1008</v>
      </c>
      <c r="J41" s="22" t="n">
        <f aca="false">F41*G41</f>
        <v>0</v>
      </c>
      <c r="K41" s="22" t="n">
        <f aca="false">F41*H41</f>
        <v>0</v>
      </c>
      <c r="L41" s="22" t="n">
        <f aca="false">F41*I41</f>
        <v>10664.64</v>
      </c>
      <c r="M41" s="5" t="s">
        <v>570</v>
      </c>
    </row>
    <row r="42" customFormat="false" ht="15" hidden="false" customHeight="false" outlineLevel="0" collapsed="false">
      <c r="A42" s="5" t="s">
        <v>409</v>
      </c>
      <c r="B42" s="5" t="s">
        <v>413</v>
      </c>
      <c r="C42" s="5" t="s">
        <v>186</v>
      </c>
      <c r="D42" s="5" t="s">
        <v>414</v>
      </c>
      <c r="E42" s="5" t="s">
        <v>194</v>
      </c>
      <c r="F42" s="21" t="n">
        <v>567.96</v>
      </c>
      <c r="G42" s="21" t="n">
        <v>0</v>
      </c>
      <c r="H42" s="21" t="n">
        <v>0</v>
      </c>
      <c r="I42" s="21" t="n">
        <v>400</v>
      </c>
      <c r="J42" s="22" t="n">
        <f aca="false">F42*G42</f>
        <v>0</v>
      </c>
      <c r="K42" s="22" t="n">
        <f aca="false">F42*H42</f>
        <v>0</v>
      </c>
      <c r="L42" s="22" t="n">
        <f aca="false">F42*I42</f>
        <v>227184</v>
      </c>
      <c r="M42" s="5" t="s">
        <v>415</v>
      </c>
    </row>
    <row r="43" customFormat="false" ht="15" hidden="false" customHeight="false" outlineLevel="0" collapsed="false">
      <c r="A43" s="5" t="s">
        <v>409</v>
      </c>
      <c r="B43" s="5" t="s">
        <v>419</v>
      </c>
      <c r="C43" s="5" t="s">
        <v>186</v>
      </c>
      <c r="D43" s="5" t="s">
        <v>420</v>
      </c>
      <c r="E43" s="5" t="s">
        <v>277</v>
      </c>
      <c r="F43" s="21" t="n">
        <v>2008.56</v>
      </c>
      <c r="G43" s="21" t="n">
        <v>0</v>
      </c>
      <c r="H43" s="21" t="n">
        <v>0</v>
      </c>
      <c r="I43" s="21" t="n">
        <v>11</v>
      </c>
      <c r="J43" s="22" t="n">
        <f aca="false">F43*G43</f>
        <v>0</v>
      </c>
      <c r="K43" s="22" t="n">
        <f aca="false">F43*H43</f>
        <v>0</v>
      </c>
      <c r="L43" s="22" t="n">
        <f aca="false">F43*I43</f>
        <v>22094.16</v>
      </c>
      <c r="M43" s="5" t="s">
        <v>421</v>
      </c>
    </row>
    <row r="44" customFormat="false" ht="15" hidden="false" customHeight="false" outlineLevel="0" collapsed="false">
      <c r="A44" s="5" t="s">
        <v>409</v>
      </c>
      <c r="B44" s="5" t="s">
        <v>422</v>
      </c>
      <c r="C44" s="5" t="s">
        <v>186</v>
      </c>
      <c r="D44" s="5" t="s">
        <v>423</v>
      </c>
      <c r="E44" s="5" t="s">
        <v>194</v>
      </c>
      <c r="F44" s="21" t="n">
        <v>844.48</v>
      </c>
      <c r="G44" s="21" t="n">
        <v>0</v>
      </c>
      <c r="H44" s="21" t="n">
        <v>0</v>
      </c>
      <c r="I44" s="21" t="n">
        <v>5.5</v>
      </c>
      <c r="J44" s="22" t="n">
        <f aca="false">F44*G44</f>
        <v>0</v>
      </c>
      <c r="K44" s="22" t="n">
        <f aca="false">F44*H44</f>
        <v>0</v>
      </c>
      <c r="L44" s="22" t="n">
        <f aca="false">F44*I44</f>
        <v>4644.64</v>
      </c>
      <c r="M44" s="5" t="s">
        <v>424</v>
      </c>
    </row>
    <row r="45" customFormat="false" ht="15" hidden="false" customHeight="false" outlineLevel="0" collapsed="false">
      <c r="A45" s="5" t="s">
        <v>577</v>
      </c>
      <c r="B45" s="5" t="s">
        <v>514</v>
      </c>
      <c r="C45" s="5" t="s">
        <v>186</v>
      </c>
      <c r="D45" s="5" t="s">
        <v>515</v>
      </c>
      <c r="E45" s="5" t="s">
        <v>317</v>
      </c>
      <c r="F45" s="21" t="n">
        <v>216.4</v>
      </c>
      <c r="G45" s="21" t="n">
        <v>0</v>
      </c>
      <c r="H45" s="21" t="n">
        <v>0</v>
      </c>
      <c r="I45" s="21" t="n">
        <v>840</v>
      </c>
      <c r="J45" s="22" t="n">
        <f aca="false">F45*G45</f>
        <v>0</v>
      </c>
      <c r="K45" s="22" t="n">
        <f aca="false">F45*H45</f>
        <v>0</v>
      </c>
      <c r="L45" s="22" t="n">
        <f aca="false">F45*I45</f>
        <v>181776</v>
      </c>
      <c r="M45" s="5" t="s">
        <v>602</v>
      </c>
    </row>
    <row r="46" customFormat="false" ht="15" hidden="false" customHeight="false" outlineLevel="0" collapsed="false">
      <c r="A46" s="5" t="s">
        <v>577</v>
      </c>
      <c r="B46" s="5" t="s">
        <v>319</v>
      </c>
      <c r="C46" s="5" t="s">
        <v>186</v>
      </c>
      <c r="D46" s="5" t="s">
        <v>320</v>
      </c>
      <c r="E46" s="5" t="s">
        <v>321</v>
      </c>
      <c r="F46" s="21" t="n">
        <v>2.83</v>
      </c>
      <c r="G46" s="21" t="n">
        <v>0</v>
      </c>
      <c r="H46" s="21" t="n">
        <v>0</v>
      </c>
      <c r="I46" s="21" t="n">
        <v>33600</v>
      </c>
      <c r="J46" s="22" t="n">
        <f aca="false">F46*G46</f>
        <v>0</v>
      </c>
      <c r="K46" s="22" t="n">
        <f aca="false">F46*H46</f>
        <v>0</v>
      </c>
      <c r="L46" s="22" t="n">
        <f aca="false">F46*I46</f>
        <v>95088</v>
      </c>
      <c r="M46" s="5" t="s">
        <v>603</v>
      </c>
    </row>
    <row r="47" customFormat="false" ht="15" hidden="false" customHeight="false" outlineLevel="0" collapsed="false">
      <c r="A47" s="5" t="s">
        <v>577</v>
      </c>
      <c r="B47" s="5" t="s">
        <v>319</v>
      </c>
      <c r="C47" s="5" t="s">
        <v>186</v>
      </c>
      <c r="D47" s="5" t="s">
        <v>320</v>
      </c>
      <c r="E47" s="5" t="s">
        <v>321</v>
      </c>
      <c r="F47" s="21" t="n">
        <v>2.83</v>
      </c>
      <c r="G47" s="21" t="n">
        <v>0</v>
      </c>
      <c r="H47" s="21" t="n">
        <v>0</v>
      </c>
      <c r="I47" s="21" t="n">
        <v>8400</v>
      </c>
      <c r="J47" s="22" t="n">
        <f aca="false">F47*G47</f>
        <v>0</v>
      </c>
      <c r="K47" s="22" t="n">
        <f aca="false">F47*H47</f>
        <v>0</v>
      </c>
      <c r="L47" s="22" t="n">
        <f aca="false">F47*I47</f>
        <v>23772</v>
      </c>
      <c r="M47" s="5" t="s">
        <v>604</v>
      </c>
    </row>
    <row r="48" customFormat="false" ht="15" hidden="false" customHeight="false" outlineLevel="0" collapsed="false">
      <c r="I48" s="7" t="s">
        <v>323</v>
      </c>
      <c r="J48" s="23" t="n">
        <f aca="false">SUM(J17:J47)</f>
        <v>245007.8417</v>
      </c>
      <c r="K48" s="23" t="n">
        <f aca="false">SUM(K17:K47)</f>
        <v>495649.9815</v>
      </c>
      <c r="L48" s="23" t="n">
        <f aca="false">SUM(L17:L47)</f>
        <v>1112932.1741</v>
      </c>
    </row>
    <row r="49" customFormat="false" ht="15" hidden="false" customHeight="false" outlineLevel="0" collapsed="false">
      <c r="I49" s="7" t="s">
        <v>324</v>
      </c>
      <c r="J49" s="24" t="n">
        <f aca="false">PARAMETROS!$B$7</f>
        <v>0.196</v>
      </c>
      <c r="K49" s="24" t="n">
        <f aca="false">PARAMETROS!$C$7</f>
        <v>0.2097</v>
      </c>
      <c r="L49" s="24" t="n">
        <f aca="false">PARAMETROS!$D$7</f>
        <v>0.2423</v>
      </c>
    </row>
    <row r="50" customFormat="false" ht="15" hidden="false" customHeight="false" outlineLevel="0" collapsed="false">
      <c r="I50" s="7" t="s">
        <v>325</v>
      </c>
      <c r="J50" s="24" t="n">
        <f aca="false">PARAMETROS!$B$8</f>
        <v>0.05</v>
      </c>
      <c r="K50" s="24" t="n">
        <f aca="false">PARAMETROS!$C$8</f>
        <v>0.1</v>
      </c>
      <c r="L50" s="24" t="n">
        <f aca="false">PARAMETROS!$D$8</f>
        <v>0.15</v>
      </c>
    </row>
    <row r="51" customFormat="false" ht="15" hidden="false" customHeight="false" outlineLevel="0" collapsed="false">
      <c r="I51" s="7" t="s">
        <v>155</v>
      </c>
      <c r="J51" s="25" t="n">
        <f aca="false">PARAMETROS!$B$9</f>
        <v>1</v>
      </c>
      <c r="K51" s="25" t="n">
        <f aca="false">PARAMETROS!$C$9</f>
        <v>1</v>
      </c>
      <c r="L51" s="25" t="n">
        <f aca="false">PARAMETROS!$D$9</f>
        <v>1.1</v>
      </c>
    </row>
    <row r="52" customFormat="false" ht="15" hidden="false" customHeight="false" outlineLevel="0" collapsed="false">
      <c r="I52" s="7" t="s">
        <v>326</v>
      </c>
      <c r="J52" s="8" t="n">
        <f aca="false">J48*(1+J49)*(1+J50)*J51</f>
        <v>307680.84760686</v>
      </c>
      <c r="K52" s="8" t="n">
        <f aca="false">K48*(1+K49)*(1+K50)*K51</f>
        <v>659546.560882605</v>
      </c>
      <c r="L52" s="8" t="n">
        <f aca="false">L48*(1+L49)*(1+L50)*L51</f>
        <v>1748983.4844538</v>
      </c>
    </row>
    <row r="54" customFormat="false" ht="15" hidden="false" customHeight="false" outlineLevel="0" collapsed="false">
      <c r="A54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7" topLeftCell="E18" activePane="bottomRight" state="frozen"/>
      <selection pane="topLeft" activeCell="A1" activeCellId="0" sqref="A1"/>
      <selection pane="topRight" activeCell="E1" activeCellId="0" sqref="E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605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56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58</v>
      </c>
    </row>
    <row r="7" customFormat="false" ht="15" hidden="false" customHeight="false" outlineLevel="0" collapsed="false">
      <c r="A7" s="7" t="s">
        <v>8</v>
      </c>
      <c r="B7" s="10" t="s">
        <v>59</v>
      </c>
    </row>
    <row r="8" customFormat="false" ht="15" hidden="false" customHeight="false" outlineLevel="0" collapsed="false">
      <c r="A8" s="7" t="s">
        <v>160</v>
      </c>
      <c r="B8" s="10" t="s">
        <v>606</v>
      </c>
    </row>
    <row r="9" customFormat="false" ht="15" hidden="false" customHeight="false" outlineLevel="0" collapsed="false">
      <c r="A9" s="7" t="s">
        <v>9</v>
      </c>
      <c r="B9" s="10" t="s">
        <v>60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607</v>
      </c>
    </row>
    <row r="13" customFormat="false" ht="15" hidden="false" customHeight="false" outlineLevel="0" collapsed="false">
      <c r="B13" s="20" t="s">
        <v>608</v>
      </c>
    </row>
    <row r="14" customFormat="false" ht="15" hidden="false" customHeight="false" outlineLevel="0" collapsed="false">
      <c r="B14" s="20" t="s">
        <v>609</v>
      </c>
    </row>
    <row r="15" customFormat="false" ht="15" hidden="false" customHeight="false" outlineLevel="0" collapsed="false">
      <c r="B15" s="20" t="s">
        <v>610</v>
      </c>
    </row>
    <row r="17" customFormat="false" ht="23.85" hidden="false" customHeight="false" outlineLevel="0" collapsed="false">
      <c r="A17" s="4" t="s">
        <v>171</v>
      </c>
      <c r="B17" s="4" t="s">
        <v>172</v>
      </c>
      <c r="C17" s="4" t="s">
        <v>173</v>
      </c>
      <c r="D17" s="4" t="s">
        <v>174</v>
      </c>
      <c r="E17" s="4" t="s">
        <v>175</v>
      </c>
      <c r="F17" s="4" t="s">
        <v>176</v>
      </c>
      <c r="G17" s="4" t="s">
        <v>177</v>
      </c>
      <c r="H17" s="4" t="s">
        <v>178</v>
      </c>
      <c r="I17" s="4" t="s">
        <v>179</v>
      </c>
      <c r="J17" s="4" t="s">
        <v>180</v>
      </c>
      <c r="K17" s="4" t="s">
        <v>181</v>
      </c>
      <c r="L17" s="4" t="s">
        <v>182</v>
      </c>
      <c r="M17" s="4" t="s">
        <v>183</v>
      </c>
    </row>
    <row r="18" customFormat="false" ht="15" hidden="false" customHeight="false" outlineLevel="0" collapsed="false">
      <c r="A18" s="5" t="s">
        <v>333</v>
      </c>
      <c r="B18" s="5" t="s">
        <v>216</v>
      </c>
      <c r="C18" s="5" t="s">
        <v>186</v>
      </c>
      <c r="D18" s="5" t="s">
        <v>217</v>
      </c>
      <c r="E18" s="5" t="s">
        <v>188</v>
      </c>
      <c r="F18" s="21" t="n">
        <v>454.97</v>
      </c>
      <c r="G18" s="21" t="n">
        <v>6</v>
      </c>
      <c r="H18" s="21" t="n">
        <v>6</v>
      </c>
      <c r="I18" s="21" t="n">
        <v>6</v>
      </c>
      <c r="J18" s="22" t="n">
        <f aca="false">F18*G18</f>
        <v>2729.82</v>
      </c>
      <c r="K18" s="22" t="n">
        <f aca="false">F18*H18</f>
        <v>2729.82</v>
      </c>
      <c r="L18" s="22" t="n">
        <f aca="false">F18*I18</f>
        <v>2729.82</v>
      </c>
      <c r="M18" s="5" t="s">
        <v>218</v>
      </c>
    </row>
    <row r="19" customFormat="false" ht="15" hidden="false" customHeight="false" outlineLevel="0" collapsed="false">
      <c r="A19" s="5" t="s">
        <v>333</v>
      </c>
      <c r="B19" s="5" t="s">
        <v>502</v>
      </c>
      <c r="C19" s="5" t="s">
        <v>186</v>
      </c>
      <c r="D19" s="5" t="s">
        <v>503</v>
      </c>
      <c r="E19" s="5" t="s">
        <v>188</v>
      </c>
      <c r="F19" s="21" t="n">
        <v>0.76</v>
      </c>
      <c r="G19" s="21" t="n">
        <v>1778.82</v>
      </c>
      <c r="H19" s="21" t="n">
        <v>1778.82</v>
      </c>
      <c r="I19" s="21" t="n">
        <v>1778.82</v>
      </c>
      <c r="J19" s="22" t="n">
        <f aca="false">F19*G19</f>
        <v>1351.9032</v>
      </c>
      <c r="K19" s="22" t="n">
        <f aca="false">F19*H19</f>
        <v>1351.9032</v>
      </c>
      <c r="L19" s="22" t="n">
        <f aca="false">F19*I19</f>
        <v>1351.9032</v>
      </c>
      <c r="M19" s="5" t="s">
        <v>611</v>
      </c>
    </row>
    <row r="20" customFormat="false" ht="15" hidden="false" customHeight="false" outlineLevel="0" collapsed="false">
      <c r="A20" s="5" t="s">
        <v>612</v>
      </c>
      <c r="B20" s="5" t="s">
        <v>613</v>
      </c>
      <c r="C20" s="5" t="s">
        <v>186</v>
      </c>
      <c r="D20" s="5" t="s">
        <v>614</v>
      </c>
      <c r="E20" s="5" t="s">
        <v>194</v>
      </c>
      <c r="F20" s="21" t="n">
        <v>351.86</v>
      </c>
      <c r="G20" s="21" t="n">
        <v>2052.48</v>
      </c>
      <c r="H20" s="21" t="n">
        <v>0</v>
      </c>
      <c r="I20" s="21" t="n">
        <v>0</v>
      </c>
      <c r="J20" s="22" t="n">
        <f aca="false">F20*G20</f>
        <v>722185.6128</v>
      </c>
      <c r="K20" s="22" t="n">
        <f aca="false">F20*H20</f>
        <v>0</v>
      </c>
      <c r="L20" s="22" t="n">
        <f aca="false">F20*I20</f>
        <v>0</v>
      </c>
      <c r="M20" s="5" t="s">
        <v>615</v>
      </c>
    </row>
    <row r="21" customFormat="false" ht="15" hidden="false" customHeight="false" outlineLevel="0" collapsed="false">
      <c r="A21" s="5" t="s">
        <v>612</v>
      </c>
      <c r="B21" s="5" t="s">
        <v>616</v>
      </c>
      <c r="C21" s="5" t="s">
        <v>186</v>
      </c>
      <c r="D21" s="5" t="s">
        <v>617</v>
      </c>
      <c r="E21" s="5" t="s">
        <v>188</v>
      </c>
      <c r="F21" s="21" t="n">
        <v>185.2</v>
      </c>
      <c r="G21" s="21" t="n">
        <v>1368.32</v>
      </c>
      <c r="H21" s="21" t="n">
        <v>1368.32</v>
      </c>
      <c r="I21" s="21" t="n">
        <v>0</v>
      </c>
      <c r="J21" s="22" t="n">
        <f aca="false">F21*G21</f>
        <v>253412.864</v>
      </c>
      <c r="K21" s="22" t="n">
        <f aca="false">F21*H21</f>
        <v>253412.864</v>
      </c>
      <c r="L21" s="22" t="n">
        <f aca="false">F21*I21</f>
        <v>0</v>
      </c>
      <c r="M21" s="5" t="s">
        <v>618</v>
      </c>
    </row>
    <row r="22" customFormat="false" ht="15" hidden="false" customHeight="false" outlineLevel="0" collapsed="false">
      <c r="A22" s="5" t="s">
        <v>619</v>
      </c>
      <c r="B22" s="5" t="s">
        <v>620</v>
      </c>
      <c r="C22" s="5" t="s">
        <v>186</v>
      </c>
      <c r="D22" s="5" t="s">
        <v>621</v>
      </c>
      <c r="E22" s="5" t="s">
        <v>194</v>
      </c>
      <c r="F22" s="21" t="n">
        <v>10.8</v>
      </c>
      <c r="G22" s="21" t="n">
        <v>820.99</v>
      </c>
      <c r="H22" s="21" t="n">
        <v>820.99</v>
      </c>
      <c r="I22" s="21" t="n">
        <v>820.99</v>
      </c>
      <c r="J22" s="22" t="n">
        <f aca="false">F22*G22</f>
        <v>8866.692</v>
      </c>
      <c r="K22" s="22" t="n">
        <f aca="false">F22*H22</f>
        <v>8866.692</v>
      </c>
      <c r="L22" s="22" t="n">
        <f aca="false">F22*I22</f>
        <v>8866.692</v>
      </c>
      <c r="M22" s="5" t="s">
        <v>622</v>
      </c>
    </row>
    <row r="23" customFormat="false" ht="15" hidden="false" customHeight="false" outlineLevel="0" collapsed="false">
      <c r="A23" s="5" t="s">
        <v>619</v>
      </c>
      <c r="B23" s="5" t="s">
        <v>623</v>
      </c>
      <c r="C23" s="5" t="s">
        <v>186</v>
      </c>
      <c r="D23" s="5" t="s">
        <v>624</v>
      </c>
      <c r="E23" s="5" t="s">
        <v>194</v>
      </c>
      <c r="F23" s="21" t="n">
        <v>74.22</v>
      </c>
      <c r="G23" s="21" t="n">
        <v>342.08</v>
      </c>
      <c r="H23" s="21" t="n">
        <v>342.08</v>
      </c>
      <c r="I23" s="21" t="n">
        <v>342.08</v>
      </c>
      <c r="J23" s="22" t="n">
        <f aca="false">F23*G23</f>
        <v>25389.1776</v>
      </c>
      <c r="K23" s="22" t="n">
        <f aca="false">F23*H23</f>
        <v>25389.1776</v>
      </c>
      <c r="L23" s="22" t="n">
        <f aca="false">F23*I23</f>
        <v>25389.1776</v>
      </c>
      <c r="M23" s="5" t="s">
        <v>625</v>
      </c>
    </row>
    <row r="24" customFormat="false" ht="15" hidden="false" customHeight="false" outlineLevel="0" collapsed="false">
      <c r="A24" s="5" t="s">
        <v>619</v>
      </c>
      <c r="B24" s="5" t="s">
        <v>626</v>
      </c>
      <c r="C24" s="5" t="s">
        <v>186</v>
      </c>
      <c r="D24" s="5" t="s">
        <v>627</v>
      </c>
      <c r="E24" s="5" t="s">
        <v>317</v>
      </c>
      <c r="F24" s="21" t="n">
        <v>1827.4</v>
      </c>
      <c r="G24" s="21" t="n">
        <v>17.1</v>
      </c>
      <c r="H24" s="21" t="n">
        <v>17.1</v>
      </c>
      <c r="I24" s="21" t="n">
        <v>17.1</v>
      </c>
      <c r="J24" s="22" t="n">
        <f aca="false">F24*G24</f>
        <v>31248.54</v>
      </c>
      <c r="K24" s="22" t="n">
        <f aca="false">F24*H24</f>
        <v>31248.54</v>
      </c>
      <c r="L24" s="22" t="n">
        <f aca="false">F24*I24</f>
        <v>31248.54</v>
      </c>
      <c r="M24" s="5" t="s">
        <v>628</v>
      </c>
    </row>
    <row r="25" customFormat="false" ht="15" hidden="false" customHeight="false" outlineLevel="0" collapsed="false">
      <c r="A25" s="5" t="s">
        <v>629</v>
      </c>
      <c r="B25" s="5" t="s">
        <v>630</v>
      </c>
      <c r="C25" s="5" t="s">
        <v>186</v>
      </c>
      <c r="D25" s="5" t="s">
        <v>631</v>
      </c>
      <c r="E25" s="5" t="s">
        <v>188</v>
      </c>
      <c r="F25" s="21" t="n">
        <v>15.04</v>
      </c>
      <c r="G25" s="21" t="n">
        <v>410.5</v>
      </c>
      <c r="H25" s="21" t="n">
        <v>410.5</v>
      </c>
      <c r="I25" s="21" t="n">
        <v>410.5</v>
      </c>
      <c r="J25" s="22" t="n">
        <f aca="false">F25*G25</f>
        <v>6173.92</v>
      </c>
      <c r="K25" s="22" t="n">
        <f aca="false">F25*H25</f>
        <v>6173.92</v>
      </c>
      <c r="L25" s="22" t="n">
        <f aca="false">F25*I25</f>
        <v>6173.92</v>
      </c>
      <c r="M25" s="5" t="s">
        <v>632</v>
      </c>
    </row>
    <row r="26" customFormat="false" ht="15" hidden="false" customHeight="false" outlineLevel="0" collapsed="false">
      <c r="A26" s="5" t="s">
        <v>612</v>
      </c>
      <c r="B26" s="5" t="s">
        <v>633</v>
      </c>
      <c r="C26" s="5" t="s">
        <v>186</v>
      </c>
      <c r="D26" s="5" t="s">
        <v>634</v>
      </c>
      <c r="E26" s="5" t="s">
        <v>194</v>
      </c>
      <c r="F26" s="21" t="n">
        <v>283.12</v>
      </c>
      <c r="G26" s="21" t="n">
        <v>0</v>
      </c>
      <c r="H26" s="21" t="n">
        <v>4865.14</v>
      </c>
      <c r="I26" s="21" t="n">
        <v>0</v>
      </c>
      <c r="J26" s="22" t="n">
        <f aca="false">F26*G26</f>
        <v>0</v>
      </c>
      <c r="K26" s="22" t="n">
        <f aca="false">F26*H26</f>
        <v>1377418.4368</v>
      </c>
      <c r="L26" s="22" t="n">
        <f aca="false">F26*I26</f>
        <v>0</v>
      </c>
      <c r="M26" s="5" t="s">
        <v>635</v>
      </c>
    </row>
    <row r="27" customFormat="false" ht="15" hidden="false" customHeight="false" outlineLevel="0" collapsed="false">
      <c r="A27" s="5" t="s">
        <v>612</v>
      </c>
      <c r="B27" s="5" t="s">
        <v>636</v>
      </c>
      <c r="C27" s="5" t="s">
        <v>186</v>
      </c>
      <c r="D27" s="5" t="s">
        <v>637</v>
      </c>
      <c r="E27" s="5" t="s">
        <v>194</v>
      </c>
      <c r="F27" s="21" t="n">
        <v>254.2</v>
      </c>
      <c r="G27" s="21" t="n">
        <v>0</v>
      </c>
      <c r="H27" s="21" t="n">
        <v>0</v>
      </c>
      <c r="I27" s="21" t="n">
        <v>10508.7</v>
      </c>
      <c r="J27" s="22" t="n">
        <f aca="false">F27*G27</f>
        <v>0</v>
      </c>
      <c r="K27" s="22" t="n">
        <f aca="false">F27*H27</f>
        <v>0</v>
      </c>
      <c r="L27" s="22" t="n">
        <f aca="false">F27*I27</f>
        <v>2671311.54</v>
      </c>
      <c r="M27" s="5" t="s">
        <v>638</v>
      </c>
    </row>
    <row r="28" customFormat="false" ht="15" hidden="false" customHeight="false" outlineLevel="0" collapsed="false">
      <c r="A28" s="5" t="s">
        <v>612</v>
      </c>
      <c r="B28" s="5" t="s">
        <v>639</v>
      </c>
      <c r="C28" s="5" t="s">
        <v>186</v>
      </c>
      <c r="D28" s="5" t="s">
        <v>640</v>
      </c>
      <c r="E28" s="5" t="s">
        <v>188</v>
      </c>
      <c r="F28" s="21" t="n">
        <v>225.64</v>
      </c>
      <c r="G28" s="21" t="n">
        <v>0</v>
      </c>
      <c r="H28" s="21" t="n">
        <v>0</v>
      </c>
      <c r="I28" s="21" t="n">
        <v>1368.32</v>
      </c>
      <c r="J28" s="22" t="n">
        <f aca="false">F28*G28</f>
        <v>0</v>
      </c>
      <c r="K28" s="22" t="n">
        <f aca="false">F28*H28</f>
        <v>0</v>
      </c>
      <c r="L28" s="22" t="n">
        <f aca="false">F28*I28</f>
        <v>308747.7248</v>
      </c>
      <c r="M28" s="5" t="s">
        <v>641</v>
      </c>
    </row>
    <row r="29" customFormat="false" ht="15" hidden="false" customHeight="false" outlineLevel="0" collapsed="false">
      <c r="I29" s="7" t="s">
        <v>323</v>
      </c>
      <c r="J29" s="23" t="n">
        <f aca="false">SUM(J18:J28)</f>
        <v>1051358.5296</v>
      </c>
      <c r="K29" s="23" t="n">
        <f aca="false">SUM(K18:K28)</f>
        <v>1706591.3536</v>
      </c>
      <c r="L29" s="23" t="n">
        <f aca="false">SUM(L18:L28)</f>
        <v>3055819.3176</v>
      </c>
    </row>
    <row r="30" customFormat="false" ht="15" hidden="false" customHeight="false" outlineLevel="0" collapsed="false">
      <c r="I30" s="7" t="s">
        <v>324</v>
      </c>
      <c r="J30" s="24" t="n">
        <f aca="false">PARAMETROS!$B$6</f>
        <v>0.2034</v>
      </c>
      <c r="K30" s="24" t="n">
        <f aca="false">PARAMETROS!$C$6</f>
        <v>0.2212</v>
      </c>
      <c r="L30" s="24" t="n">
        <f aca="false">PARAMETROS!$D$6</f>
        <v>0.25</v>
      </c>
    </row>
    <row r="31" customFormat="false" ht="15" hidden="false" customHeight="false" outlineLevel="0" collapsed="false">
      <c r="I31" s="7" t="s">
        <v>325</v>
      </c>
      <c r="J31" s="24" t="n">
        <f aca="false">PARAMETROS!$B$8</f>
        <v>0.05</v>
      </c>
      <c r="K31" s="24" t="n">
        <f aca="false">PARAMETROS!$C$8</f>
        <v>0.1</v>
      </c>
      <c r="L31" s="24" t="n">
        <f aca="false">PARAMETROS!$D$8</f>
        <v>0.15</v>
      </c>
    </row>
    <row r="32" customFormat="false" ht="15" hidden="false" customHeight="false" outlineLevel="0" collapsed="false">
      <c r="I32" s="7" t="s">
        <v>155</v>
      </c>
      <c r="J32" s="25" t="n">
        <f aca="false">PARAMETROS!$B$9</f>
        <v>1</v>
      </c>
      <c r="K32" s="25" t="n">
        <f aca="false">PARAMETROS!$C$9</f>
        <v>1</v>
      </c>
      <c r="L32" s="25" t="n">
        <f aca="false">PARAMETROS!$D$9</f>
        <v>1.1</v>
      </c>
    </row>
    <row r="33" customFormat="false" ht="15" hidden="false" customHeight="false" outlineLevel="0" collapsed="false">
      <c r="I33" s="7" t="s">
        <v>326</v>
      </c>
      <c r="J33" s="8" t="n">
        <f aca="false">J29*(1+J30)*(1+J31)*J32</f>
        <v>1328465.09724667</v>
      </c>
      <c r="K33" s="8" t="n">
        <f aca="false">K29*(1+K30)*(1+K31)*K32</f>
        <v>2292498.29711795</v>
      </c>
      <c r="L33" s="8" t="n">
        <f aca="false">L29*(1+L30)*(1+L31)*L32</f>
        <v>4832014.295955</v>
      </c>
    </row>
    <row r="35" customFormat="false" ht="15" hidden="false" customHeight="false" outlineLevel="0" collapsed="false">
      <c r="A35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8" topLeftCell="E19" activePane="bottomRight" state="frozen"/>
      <selection pane="topLeft" activeCell="A1" activeCellId="0" sqref="A1"/>
      <selection pane="topRight" activeCell="E1" activeCellId="0" sqref="E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642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62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58</v>
      </c>
    </row>
    <row r="7" customFormat="false" ht="15" hidden="false" customHeight="false" outlineLevel="0" collapsed="false">
      <c r="A7" s="7" t="s">
        <v>8</v>
      </c>
      <c r="B7" s="10" t="s">
        <v>64</v>
      </c>
    </row>
    <row r="8" customFormat="false" ht="15" hidden="false" customHeight="false" outlineLevel="0" collapsed="false">
      <c r="A8" s="7" t="s">
        <v>160</v>
      </c>
      <c r="B8" s="10" t="s">
        <v>643</v>
      </c>
    </row>
    <row r="9" customFormat="false" ht="15" hidden="false" customHeight="false" outlineLevel="0" collapsed="false">
      <c r="A9" s="7" t="s">
        <v>9</v>
      </c>
      <c r="B9" s="10" t="s">
        <v>65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644</v>
      </c>
    </row>
    <row r="13" customFormat="false" ht="15" hidden="false" customHeight="false" outlineLevel="0" collapsed="false">
      <c r="B13" s="20" t="s">
        <v>645</v>
      </c>
    </row>
    <row r="14" customFormat="false" ht="15" hidden="false" customHeight="false" outlineLevel="0" collapsed="false">
      <c r="B14" s="20" t="s">
        <v>646</v>
      </c>
    </row>
    <row r="15" customFormat="false" ht="15" hidden="false" customHeight="false" outlineLevel="0" collapsed="false">
      <c r="B15" s="20" t="s">
        <v>647</v>
      </c>
    </row>
    <row r="16" customFormat="false" ht="15" hidden="false" customHeight="false" outlineLevel="0" collapsed="false">
      <c r="B16" s="20" t="s">
        <v>332</v>
      </c>
    </row>
    <row r="18" customFormat="false" ht="23.85" hidden="false" customHeight="false" outlineLevel="0" collapsed="false">
      <c r="A18" s="4" t="s">
        <v>171</v>
      </c>
      <c r="B18" s="4" t="s">
        <v>172</v>
      </c>
      <c r="C18" s="4" t="s">
        <v>173</v>
      </c>
      <c r="D18" s="4" t="s">
        <v>174</v>
      </c>
      <c r="E18" s="4" t="s">
        <v>175</v>
      </c>
      <c r="F18" s="4" t="s">
        <v>176</v>
      </c>
      <c r="G18" s="4" t="s">
        <v>177</v>
      </c>
      <c r="H18" s="4" t="s">
        <v>178</v>
      </c>
      <c r="I18" s="4" t="s">
        <v>179</v>
      </c>
      <c r="J18" s="4" t="s">
        <v>180</v>
      </c>
      <c r="K18" s="4" t="s">
        <v>181</v>
      </c>
      <c r="L18" s="4" t="s">
        <v>182</v>
      </c>
      <c r="M18" s="4" t="s">
        <v>183</v>
      </c>
    </row>
    <row r="19" customFormat="false" ht="15" hidden="false" customHeight="false" outlineLevel="0" collapsed="false">
      <c r="A19" s="5" t="s">
        <v>648</v>
      </c>
      <c r="B19" s="5" t="s">
        <v>334</v>
      </c>
      <c r="C19" s="5" t="s">
        <v>186</v>
      </c>
      <c r="D19" s="5" t="s">
        <v>335</v>
      </c>
      <c r="E19" s="5" t="s">
        <v>194</v>
      </c>
      <c r="F19" s="21" t="n">
        <v>75.94</v>
      </c>
      <c r="G19" s="21" t="n">
        <v>960</v>
      </c>
      <c r="H19" s="21" t="n">
        <v>1008</v>
      </c>
      <c r="I19" s="21" t="n">
        <v>1080</v>
      </c>
      <c r="J19" s="22" t="n">
        <f aca="false">F19*G19</f>
        <v>72902.4</v>
      </c>
      <c r="K19" s="22" t="n">
        <f aca="false">F19*H19</f>
        <v>76547.52</v>
      </c>
      <c r="L19" s="22" t="n">
        <f aca="false">F19*I19</f>
        <v>82015.2</v>
      </c>
      <c r="M19" s="5" t="s">
        <v>336</v>
      </c>
    </row>
    <row r="20" customFormat="false" ht="15" hidden="false" customHeight="false" outlineLevel="0" collapsed="false">
      <c r="A20" s="5" t="s">
        <v>649</v>
      </c>
      <c r="B20" s="5" t="s">
        <v>338</v>
      </c>
      <c r="C20" s="5" t="s">
        <v>186</v>
      </c>
      <c r="D20" s="5" t="s">
        <v>339</v>
      </c>
      <c r="E20" s="5" t="s">
        <v>317</v>
      </c>
      <c r="F20" s="21" t="n">
        <v>103.4</v>
      </c>
      <c r="G20" s="21" t="n">
        <v>307.2</v>
      </c>
      <c r="H20" s="21" t="n">
        <v>322.56</v>
      </c>
      <c r="I20" s="21" t="n">
        <v>345.6</v>
      </c>
      <c r="J20" s="22" t="n">
        <f aca="false">F20*G20</f>
        <v>31764.48</v>
      </c>
      <c r="K20" s="22" t="n">
        <f aca="false">F20*H20</f>
        <v>33352.704</v>
      </c>
      <c r="L20" s="22" t="n">
        <f aca="false">F20*I20</f>
        <v>35735.04</v>
      </c>
      <c r="M20" s="5" t="s">
        <v>340</v>
      </c>
    </row>
    <row r="21" customFormat="false" ht="15" hidden="false" customHeight="false" outlineLevel="0" collapsed="false">
      <c r="A21" s="5" t="s">
        <v>649</v>
      </c>
      <c r="B21" s="5" t="s">
        <v>341</v>
      </c>
      <c r="C21" s="5" t="s">
        <v>186</v>
      </c>
      <c r="D21" s="5" t="s">
        <v>342</v>
      </c>
      <c r="E21" s="5" t="s">
        <v>317</v>
      </c>
      <c r="F21" s="21" t="n">
        <v>828.32</v>
      </c>
      <c r="G21" s="21" t="n">
        <v>460.8</v>
      </c>
      <c r="H21" s="21" t="n">
        <v>483.84</v>
      </c>
      <c r="I21" s="21" t="n">
        <v>518.4</v>
      </c>
      <c r="J21" s="22" t="n">
        <f aca="false">F21*G21</f>
        <v>381689.856</v>
      </c>
      <c r="K21" s="22" t="n">
        <f aca="false">F21*H21</f>
        <v>400774.3488</v>
      </c>
      <c r="L21" s="22" t="n">
        <f aca="false">F21*I21</f>
        <v>429401.088</v>
      </c>
      <c r="M21" s="5" t="s">
        <v>343</v>
      </c>
    </row>
    <row r="22" customFormat="false" ht="15" hidden="false" customHeight="false" outlineLevel="0" collapsed="false">
      <c r="A22" s="5" t="s">
        <v>649</v>
      </c>
      <c r="B22" s="5" t="s">
        <v>344</v>
      </c>
      <c r="C22" s="5" t="s">
        <v>186</v>
      </c>
      <c r="D22" s="5" t="s">
        <v>345</v>
      </c>
      <c r="E22" s="5" t="s">
        <v>346</v>
      </c>
      <c r="F22" s="21" t="n">
        <v>10.41</v>
      </c>
      <c r="G22" s="21" t="n">
        <v>38400</v>
      </c>
      <c r="H22" s="21" t="n">
        <v>40320</v>
      </c>
      <c r="I22" s="21" t="n">
        <v>43200</v>
      </c>
      <c r="J22" s="22" t="n">
        <f aca="false">F22*G22</f>
        <v>399744</v>
      </c>
      <c r="K22" s="22" t="n">
        <f aca="false">F22*H22</f>
        <v>419731.2</v>
      </c>
      <c r="L22" s="22" t="n">
        <f aca="false">F22*I22</f>
        <v>449712</v>
      </c>
      <c r="M22" s="5" t="s">
        <v>347</v>
      </c>
    </row>
    <row r="23" customFormat="false" ht="15" hidden="false" customHeight="false" outlineLevel="0" collapsed="false">
      <c r="A23" s="5" t="s">
        <v>649</v>
      </c>
      <c r="B23" s="5" t="s">
        <v>348</v>
      </c>
      <c r="C23" s="5" t="s">
        <v>186</v>
      </c>
      <c r="D23" s="5" t="s">
        <v>349</v>
      </c>
      <c r="E23" s="5" t="s">
        <v>188</v>
      </c>
      <c r="F23" s="21" t="n">
        <v>122.64</v>
      </c>
      <c r="G23" s="21" t="n">
        <v>4224</v>
      </c>
      <c r="H23" s="21" t="n">
        <v>4435.2</v>
      </c>
      <c r="I23" s="21" t="n">
        <v>4752</v>
      </c>
      <c r="J23" s="22" t="n">
        <f aca="false">F23*G23</f>
        <v>518031.36</v>
      </c>
      <c r="K23" s="22" t="n">
        <f aca="false">F23*H23</f>
        <v>543932.928</v>
      </c>
      <c r="L23" s="22" t="n">
        <f aca="false">F23*I23</f>
        <v>582785.28</v>
      </c>
      <c r="M23" s="5" t="s">
        <v>350</v>
      </c>
    </row>
    <row r="24" customFormat="false" ht="15" hidden="false" customHeight="false" outlineLevel="0" collapsed="false">
      <c r="A24" s="5" t="s">
        <v>650</v>
      </c>
      <c r="B24" s="5" t="s">
        <v>352</v>
      </c>
      <c r="C24" s="5" t="s">
        <v>186</v>
      </c>
      <c r="D24" s="5" t="s">
        <v>353</v>
      </c>
      <c r="E24" s="5" t="s">
        <v>188</v>
      </c>
      <c r="F24" s="21" t="n">
        <v>119.54</v>
      </c>
      <c r="G24" s="21" t="n">
        <v>5760</v>
      </c>
      <c r="H24" s="21" t="n">
        <v>6048</v>
      </c>
      <c r="I24" s="21" t="n">
        <v>6480</v>
      </c>
      <c r="J24" s="22" t="n">
        <f aca="false">F24*G24</f>
        <v>688550.4</v>
      </c>
      <c r="K24" s="22" t="n">
        <f aca="false">F24*H24</f>
        <v>722977.92</v>
      </c>
      <c r="L24" s="22" t="n">
        <f aca="false">F24*I24</f>
        <v>774619.2</v>
      </c>
      <c r="M24" s="5" t="s">
        <v>354</v>
      </c>
    </row>
    <row r="25" customFormat="false" ht="15" hidden="false" customHeight="false" outlineLevel="0" collapsed="false">
      <c r="A25" s="5" t="s">
        <v>650</v>
      </c>
      <c r="B25" s="5" t="s">
        <v>249</v>
      </c>
      <c r="C25" s="5" t="s">
        <v>186</v>
      </c>
      <c r="D25" s="5" t="s">
        <v>250</v>
      </c>
      <c r="E25" s="5" t="s">
        <v>188</v>
      </c>
      <c r="F25" s="21" t="n">
        <v>6.03</v>
      </c>
      <c r="G25" s="21" t="n">
        <v>11520</v>
      </c>
      <c r="H25" s="21" t="n">
        <v>12096</v>
      </c>
      <c r="I25" s="21" t="n">
        <v>12960</v>
      </c>
      <c r="J25" s="22" t="n">
        <f aca="false">F25*G25</f>
        <v>69465.6</v>
      </c>
      <c r="K25" s="22" t="n">
        <f aca="false">F25*H25</f>
        <v>72938.88</v>
      </c>
      <c r="L25" s="22" t="n">
        <f aca="false">F25*I25</f>
        <v>78148.8</v>
      </c>
      <c r="M25" s="5" t="s">
        <v>355</v>
      </c>
    </row>
    <row r="26" customFormat="false" ht="15" hidden="false" customHeight="false" outlineLevel="0" collapsed="false">
      <c r="A26" s="5" t="s">
        <v>650</v>
      </c>
      <c r="B26" s="5" t="s">
        <v>252</v>
      </c>
      <c r="C26" s="5" t="s">
        <v>186</v>
      </c>
      <c r="D26" s="5" t="s">
        <v>253</v>
      </c>
      <c r="E26" s="5" t="s">
        <v>188</v>
      </c>
      <c r="F26" s="21" t="n">
        <v>31.79</v>
      </c>
      <c r="G26" s="21" t="n">
        <v>9216</v>
      </c>
      <c r="H26" s="21" t="n">
        <v>9676.8</v>
      </c>
      <c r="I26" s="21" t="n">
        <v>10368</v>
      </c>
      <c r="J26" s="22" t="n">
        <f aca="false">F26*G26</f>
        <v>292976.64</v>
      </c>
      <c r="K26" s="22" t="n">
        <f aca="false">F26*H26</f>
        <v>307625.472</v>
      </c>
      <c r="L26" s="22" t="n">
        <f aca="false">F26*I26</f>
        <v>329598.72</v>
      </c>
      <c r="M26" s="5" t="s">
        <v>356</v>
      </c>
    </row>
    <row r="27" customFormat="false" ht="15" hidden="false" customHeight="false" outlineLevel="0" collapsed="false">
      <c r="A27" s="5" t="s">
        <v>650</v>
      </c>
      <c r="B27" s="5" t="s">
        <v>357</v>
      </c>
      <c r="C27" s="5" t="s">
        <v>186</v>
      </c>
      <c r="D27" s="5" t="s">
        <v>358</v>
      </c>
      <c r="E27" s="5" t="s">
        <v>188</v>
      </c>
      <c r="F27" s="21" t="n">
        <v>83.28</v>
      </c>
      <c r="G27" s="21" t="n">
        <v>2304</v>
      </c>
      <c r="H27" s="21" t="n">
        <v>2419.2</v>
      </c>
      <c r="I27" s="21" t="n">
        <v>2592</v>
      </c>
      <c r="J27" s="22" t="n">
        <f aca="false">F27*G27</f>
        <v>191877.12</v>
      </c>
      <c r="K27" s="22" t="n">
        <f aca="false">F27*H27</f>
        <v>201470.976</v>
      </c>
      <c r="L27" s="22" t="n">
        <f aca="false">F27*I27</f>
        <v>215861.76</v>
      </c>
      <c r="M27" s="5" t="s">
        <v>359</v>
      </c>
    </row>
    <row r="28" customFormat="false" ht="15" hidden="false" customHeight="false" outlineLevel="0" collapsed="false">
      <c r="A28" s="5" t="s">
        <v>650</v>
      </c>
      <c r="B28" s="5" t="s">
        <v>255</v>
      </c>
      <c r="C28" s="5" t="s">
        <v>186</v>
      </c>
      <c r="D28" s="5" t="s">
        <v>256</v>
      </c>
      <c r="E28" s="5" t="s">
        <v>188</v>
      </c>
      <c r="F28" s="21" t="n">
        <v>59.3</v>
      </c>
      <c r="G28" s="21" t="n">
        <v>1152</v>
      </c>
      <c r="H28" s="21" t="n">
        <v>1209.6</v>
      </c>
      <c r="I28" s="21" t="n">
        <v>1296</v>
      </c>
      <c r="J28" s="22" t="n">
        <f aca="false">F28*G28</f>
        <v>68313.6</v>
      </c>
      <c r="K28" s="22" t="n">
        <f aca="false">F28*H28</f>
        <v>71729.28</v>
      </c>
      <c r="L28" s="22" t="n">
        <f aca="false">F28*I28</f>
        <v>76852.8</v>
      </c>
      <c r="M28" s="5" t="s">
        <v>360</v>
      </c>
    </row>
    <row r="29" customFormat="false" ht="15" hidden="false" customHeight="false" outlineLevel="0" collapsed="false">
      <c r="A29" s="5" t="s">
        <v>651</v>
      </c>
      <c r="B29" s="5" t="s">
        <v>362</v>
      </c>
      <c r="C29" s="5" t="s">
        <v>186</v>
      </c>
      <c r="D29" s="5" t="s">
        <v>363</v>
      </c>
      <c r="E29" s="5" t="s">
        <v>188</v>
      </c>
      <c r="F29" s="21" t="n">
        <v>48.41</v>
      </c>
      <c r="G29" s="21" t="n">
        <v>3840</v>
      </c>
      <c r="H29" s="21" t="n">
        <v>4032</v>
      </c>
      <c r="I29" s="21" t="n">
        <v>4320</v>
      </c>
      <c r="J29" s="22" t="n">
        <f aca="false">F29*G29</f>
        <v>185894.4</v>
      </c>
      <c r="K29" s="22" t="n">
        <f aca="false">F29*H29</f>
        <v>195189.12</v>
      </c>
      <c r="L29" s="22" t="n">
        <f aca="false">F29*I29</f>
        <v>209131.2</v>
      </c>
      <c r="M29" s="5" t="s">
        <v>364</v>
      </c>
    </row>
    <row r="30" customFormat="false" ht="15" hidden="false" customHeight="false" outlineLevel="0" collapsed="false">
      <c r="A30" s="5" t="s">
        <v>651</v>
      </c>
      <c r="B30" s="5" t="s">
        <v>258</v>
      </c>
      <c r="C30" s="5" t="s">
        <v>186</v>
      </c>
      <c r="D30" s="5" t="s">
        <v>259</v>
      </c>
      <c r="E30" s="5" t="s">
        <v>188</v>
      </c>
      <c r="F30" s="21" t="n">
        <v>58.19</v>
      </c>
      <c r="G30" s="21" t="n">
        <v>3840</v>
      </c>
      <c r="H30" s="21" t="n">
        <v>4032</v>
      </c>
      <c r="I30" s="21" t="n">
        <v>4320</v>
      </c>
      <c r="J30" s="22" t="n">
        <f aca="false">F30*G30</f>
        <v>223449.6</v>
      </c>
      <c r="K30" s="22" t="n">
        <f aca="false">F30*H30</f>
        <v>234622.08</v>
      </c>
      <c r="L30" s="22" t="n">
        <f aca="false">F30*I30</f>
        <v>251380.8</v>
      </c>
      <c r="M30" s="5" t="s">
        <v>365</v>
      </c>
    </row>
    <row r="31" customFormat="false" ht="15" hidden="false" customHeight="false" outlineLevel="0" collapsed="false">
      <c r="A31" s="5" t="s">
        <v>651</v>
      </c>
      <c r="B31" s="5" t="s">
        <v>261</v>
      </c>
      <c r="C31" s="5" t="s">
        <v>186</v>
      </c>
      <c r="D31" s="5" t="s">
        <v>262</v>
      </c>
      <c r="E31" s="5" t="s">
        <v>188</v>
      </c>
      <c r="F31" s="21" t="n">
        <v>50.14</v>
      </c>
      <c r="G31" s="21" t="n">
        <v>3840</v>
      </c>
      <c r="H31" s="21" t="n">
        <v>4032</v>
      </c>
      <c r="I31" s="21" t="n">
        <v>4320</v>
      </c>
      <c r="J31" s="22" t="n">
        <f aca="false">F31*G31</f>
        <v>192537.6</v>
      </c>
      <c r="K31" s="22" t="n">
        <f aca="false">F31*H31</f>
        <v>202164.48</v>
      </c>
      <c r="L31" s="22" t="n">
        <f aca="false">F31*I31</f>
        <v>216604.8</v>
      </c>
      <c r="M31" s="5" t="s">
        <v>366</v>
      </c>
    </row>
    <row r="32" customFormat="false" ht="15" hidden="false" customHeight="false" outlineLevel="0" collapsed="false">
      <c r="A32" s="5" t="s">
        <v>651</v>
      </c>
      <c r="B32" s="5" t="s">
        <v>367</v>
      </c>
      <c r="C32" s="5" t="s">
        <v>186</v>
      </c>
      <c r="D32" s="5" t="s">
        <v>368</v>
      </c>
      <c r="E32" s="5" t="s">
        <v>188</v>
      </c>
      <c r="F32" s="21" t="n">
        <v>91.17</v>
      </c>
      <c r="G32" s="21" t="n">
        <v>576</v>
      </c>
      <c r="H32" s="21" t="n">
        <v>604.8</v>
      </c>
      <c r="I32" s="21" t="n">
        <v>648</v>
      </c>
      <c r="J32" s="22" t="n">
        <f aca="false">F32*G32</f>
        <v>52513.92</v>
      </c>
      <c r="K32" s="22" t="n">
        <f aca="false">F32*H32</f>
        <v>55139.616</v>
      </c>
      <c r="L32" s="22" t="n">
        <f aca="false">F32*I32</f>
        <v>59078.16</v>
      </c>
      <c r="M32" s="5" t="s">
        <v>369</v>
      </c>
    </row>
    <row r="33" customFormat="false" ht="15" hidden="false" customHeight="false" outlineLevel="0" collapsed="false">
      <c r="A33" s="5" t="s">
        <v>652</v>
      </c>
      <c r="B33" s="5" t="s">
        <v>239</v>
      </c>
      <c r="C33" s="5" t="s">
        <v>186</v>
      </c>
      <c r="D33" s="5" t="s">
        <v>240</v>
      </c>
      <c r="E33" s="5" t="s">
        <v>188</v>
      </c>
      <c r="F33" s="21" t="n">
        <v>101.54</v>
      </c>
      <c r="G33" s="21" t="n">
        <v>4800</v>
      </c>
      <c r="H33" s="21" t="n">
        <v>5040</v>
      </c>
      <c r="I33" s="21" t="n">
        <v>5400</v>
      </c>
      <c r="J33" s="22" t="n">
        <f aca="false">F33*G33</f>
        <v>487392</v>
      </c>
      <c r="K33" s="22" t="n">
        <f aca="false">F33*H33</f>
        <v>511761.6</v>
      </c>
      <c r="L33" s="22" t="n">
        <f aca="false">F33*I33</f>
        <v>548316</v>
      </c>
      <c r="M33" s="5" t="s">
        <v>371</v>
      </c>
    </row>
    <row r="34" customFormat="false" ht="15" hidden="false" customHeight="false" outlineLevel="0" collapsed="false">
      <c r="A34" s="5" t="s">
        <v>652</v>
      </c>
      <c r="B34" s="5" t="s">
        <v>242</v>
      </c>
      <c r="C34" s="5" t="s">
        <v>186</v>
      </c>
      <c r="D34" s="5" t="s">
        <v>243</v>
      </c>
      <c r="E34" s="5" t="s">
        <v>188</v>
      </c>
      <c r="F34" s="21" t="n">
        <v>42.42</v>
      </c>
      <c r="G34" s="21" t="n">
        <v>4800</v>
      </c>
      <c r="H34" s="21" t="n">
        <v>5040</v>
      </c>
      <c r="I34" s="21" t="n">
        <v>5400</v>
      </c>
      <c r="J34" s="22" t="n">
        <f aca="false">F34*G34</f>
        <v>203616</v>
      </c>
      <c r="K34" s="22" t="n">
        <f aca="false">F34*H34</f>
        <v>213796.8</v>
      </c>
      <c r="L34" s="22" t="n">
        <f aca="false">F34*I34</f>
        <v>229068</v>
      </c>
      <c r="M34" s="5" t="s">
        <v>372</v>
      </c>
    </row>
    <row r="35" customFormat="false" ht="15" hidden="false" customHeight="false" outlineLevel="0" collapsed="false">
      <c r="A35" s="5" t="s">
        <v>652</v>
      </c>
      <c r="B35" s="5" t="s">
        <v>245</v>
      </c>
      <c r="C35" s="5" t="s">
        <v>186</v>
      </c>
      <c r="D35" s="5" t="s">
        <v>246</v>
      </c>
      <c r="E35" s="5" t="s">
        <v>188</v>
      </c>
      <c r="F35" s="21" t="n">
        <v>73.2</v>
      </c>
      <c r="G35" s="21" t="n">
        <v>3456</v>
      </c>
      <c r="H35" s="21" t="n">
        <v>3628.8</v>
      </c>
      <c r="I35" s="21" t="n">
        <v>3888</v>
      </c>
      <c r="J35" s="22" t="n">
        <f aca="false">F35*G35</f>
        <v>252979.2</v>
      </c>
      <c r="K35" s="22" t="n">
        <f aca="false">F35*H35</f>
        <v>265628.16</v>
      </c>
      <c r="L35" s="22" t="n">
        <f aca="false">F35*I35</f>
        <v>284601.6</v>
      </c>
      <c r="M35" s="5" t="s">
        <v>373</v>
      </c>
    </row>
    <row r="36" customFormat="false" ht="15" hidden="false" customHeight="false" outlineLevel="0" collapsed="false">
      <c r="A36" s="5" t="s">
        <v>653</v>
      </c>
      <c r="B36" s="5" t="s">
        <v>275</v>
      </c>
      <c r="C36" s="5" t="s">
        <v>186</v>
      </c>
      <c r="D36" s="5" t="s">
        <v>276</v>
      </c>
      <c r="E36" s="5" t="s">
        <v>277</v>
      </c>
      <c r="F36" s="21" t="n">
        <v>1179.17</v>
      </c>
      <c r="G36" s="21" t="n">
        <v>256</v>
      </c>
      <c r="H36" s="21" t="n">
        <v>268.8</v>
      </c>
      <c r="I36" s="21" t="n">
        <v>288</v>
      </c>
      <c r="J36" s="22" t="n">
        <f aca="false">F36*G36</f>
        <v>301867.52</v>
      </c>
      <c r="K36" s="22" t="n">
        <f aca="false">F36*H36</f>
        <v>316960.896</v>
      </c>
      <c r="L36" s="22" t="n">
        <f aca="false">F36*I36</f>
        <v>339600.96</v>
      </c>
      <c r="M36" s="5" t="s">
        <v>375</v>
      </c>
    </row>
    <row r="37" customFormat="false" ht="15" hidden="false" customHeight="false" outlineLevel="0" collapsed="false">
      <c r="A37" s="5" t="s">
        <v>653</v>
      </c>
      <c r="B37" s="5" t="s">
        <v>272</v>
      </c>
      <c r="C37" s="5" t="s">
        <v>186</v>
      </c>
      <c r="D37" s="5" t="s">
        <v>273</v>
      </c>
      <c r="E37" s="5" t="s">
        <v>188</v>
      </c>
      <c r="F37" s="21" t="n">
        <v>223.25</v>
      </c>
      <c r="G37" s="21" t="n">
        <v>576</v>
      </c>
      <c r="H37" s="21" t="n">
        <v>604.8</v>
      </c>
      <c r="I37" s="21" t="n">
        <v>648</v>
      </c>
      <c r="J37" s="22" t="n">
        <f aca="false">F37*G37</f>
        <v>128592</v>
      </c>
      <c r="K37" s="22" t="n">
        <f aca="false">F37*H37</f>
        <v>135021.6</v>
      </c>
      <c r="L37" s="22" t="n">
        <f aca="false">F37*I37</f>
        <v>144666</v>
      </c>
      <c r="M37" s="5" t="s">
        <v>376</v>
      </c>
    </row>
    <row r="38" customFormat="false" ht="15" hidden="false" customHeight="false" outlineLevel="0" collapsed="false">
      <c r="A38" s="5" t="s">
        <v>654</v>
      </c>
      <c r="B38" s="5" t="s">
        <v>265</v>
      </c>
      <c r="C38" s="5" t="s">
        <v>186</v>
      </c>
      <c r="D38" s="5" t="s">
        <v>266</v>
      </c>
      <c r="E38" s="5" t="s">
        <v>188</v>
      </c>
      <c r="F38" s="21" t="n">
        <v>12.33</v>
      </c>
      <c r="G38" s="21" t="n">
        <v>9216</v>
      </c>
      <c r="H38" s="21" t="n">
        <v>9676.8</v>
      </c>
      <c r="I38" s="21" t="n">
        <v>10368</v>
      </c>
      <c r="J38" s="22" t="n">
        <f aca="false">F38*G38</f>
        <v>113633.28</v>
      </c>
      <c r="K38" s="22" t="n">
        <f aca="false">F38*H38</f>
        <v>119314.944</v>
      </c>
      <c r="L38" s="22" t="n">
        <f aca="false">F38*I38</f>
        <v>127837.44</v>
      </c>
      <c r="M38" s="5" t="s">
        <v>378</v>
      </c>
    </row>
    <row r="39" customFormat="false" ht="15" hidden="false" customHeight="false" outlineLevel="0" collapsed="false">
      <c r="A39" s="5" t="s">
        <v>654</v>
      </c>
      <c r="B39" s="5" t="s">
        <v>379</v>
      </c>
      <c r="C39" s="5" t="s">
        <v>186</v>
      </c>
      <c r="D39" s="5" t="s">
        <v>380</v>
      </c>
      <c r="E39" s="5" t="s">
        <v>188</v>
      </c>
      <c r="F39" s="21" t="n">
        <v>23.22</v>
      </c>
      <c r="G39" s="21" t="n">
        <v>2304</v>
      </c>
      <c r="H39" s="21" t="n">
        <v>2419.2</v>
      </c>
      <c r="I39" s="21" t="n">
        <v>2592</v>
      </c>
      <c r="J39" s="22" t="n">
        <f aca="false">F39*G39</f>
        <v>53498.88</v>
      </c>
      <c r="K39" s="22" t="n">
        <f aca="false">F39*H39</f>
        <v>56173.824</v>
      </c>
      <c r="L39" s="22" t="n">
        <f aca="false">F39*I39</f>
        <v>60186.24</v>
      </c>
      <c r="M39" s="5" t="s">
        <v>381</v>
      </c>
    </row>
    <row r="40" customFormat="false" ht="15" hidden="false" customHeight="false" outlineLevel="0" collapsed="false">
      <c r="A40" s="5" t="s">
        <v>655</v>
      </c>
      <c r="B40" s="5" t="s">
        <v>280</v>
      </c>
      <c r="C40" s="5" t="s">
        <v>186</v>
      </c>
      <c r="D40" s="5" t="s">
        <v>281</v>
      </c>
      <c r="E40" s="5" t="s">
        <v>277</v>
      </c>
      <c r="F40" s="21" t="n">
        <v>53.69</v>
      </c>
      <c r="G40" s="21" t="n">
        <v>640</v>
      </c>
      <c r="H40" s="21" t="n">
        <v>672</v>
      </c>
      <c r="I40" s="21" t="n">
        <v>720</v>
      </c>
      <c r="J40" s="22" t="n">
        <f aca="false">F40*G40</f>
        <v>34361.6</v>
      </c>
      <c r="K40" s="22" t="n">
        <f aca="false">F40*H40</f>
        <v>36079.68</v>
      </c>
      <c r="L40" s="22" t="n">
        <f aca="false">F40*I40</f>
        <v>38656.8</v>
      </c>
      <c r="M40" s="5" t="s">
        <v>383</v>
      </c>
    </row>
    <row r="41" customFormat="false" ht="15" hidden="false" customHeight="false" outlineLevel="0" collapsed="false">
      <c r="A41" s="5" t="s">
        <v>655</v>
      </c>
      <c r="B41" s="5" t="s">
        <v>283</v>
      </c>
      <c r="C41" s="5" t="s">
        <v>186</v>
      </c>
      <c r="D41" s="5" t="s">
        <v>284</v>
      </c>
      <c r="E41" s="5" t="s">
        <v>277</v>
      </c>
      <c r="F41" s="21" t="n">
        <v>30.86</v>
      </c>
      <c r="G41" s="21" t="n">
        <v>480</v>
      </c>
      <c r="H41" s="21" t="n">
        <v>504</v>
      </c>
      <c r="I41" s="21" t="n">
        <v>540</v>
      </c>
      <c r="J41" s="22" t="n">
        <f aca="false">F41*G41</f>
        <v>14812.8</v>
      </c>
      <c r="K41" s="22" t="n">
        <f aca="false">F41*H41</f>
        <v>15553.44</v>
      </c>
      <c r="L41" s="22" t="n">
        <f aca="false">F41*I41</f>
        <v>16664.4</v>
      </c>
      <c r="M41" s="5" t="s">
        <v>384</v>
      </c>
    </row>
    <row r="42" customFormat="false" ht="15" hidden="false" customHeight="false" outlineLevel="0" collapsed="false">
      <c r="A42" s="5" t="s">
        <v>655</v>
      </c>
      <c r="B42" s="5" t="s">
        <v>286</v>
      </c>
      <c r="C42" s="5" t="s">
        <v>186</v>
      </c>
      <c r="D42" s="5" t="s">
        <v>287</v>
      </c>
      <c r="E42" s="5" t="s">
        <v>194</v>
      </c>
      <c r="F42" s="21" t="n">
        <v>5.48</v>
      </c>
      <c r="G42" s="21" t="n">
        <v>46080</v>
      </c>
      <c r="H42" s="21" t="n">
        <v>48384</v>
      </c>
      <c r="I42" s="21" t="n">
        <v>51840</v>
      </c>
      <c r="J42" s="22" t="n">
        <f aca="false">F42*G42</f>
        <v>252518.4</v>
      </c>
      <c r="K42" s="22" t="n">
        <f aca="false">F42*H42</f>
        <v>265144.32</v>
      </c>
      <c r="L42" s="22" t="n">
        <f aca="false">F42*I42</f>
        <v>284083.2</v>
      </c>
      <c r="M42" s="5" t="s">
        <v>385</v>
      </c>
    </row>
    <row r="43" customFormat="false" ht="15" hidden="false" customHeight="false" outlineLevel="0" collapsed="false">
      <c r="A43" s="5" t="s">
        <v>655</v>
      </c>
      <c r="B43" s="5" t="s">
        <v>289</v>
      </c>
      <c r="C43" s="5" t="s">
        <v>186</v>
      </c>
      <c r="D43" s="5" t="s">
        <v>290</v>
      </c>
      <c r="E43" s="5" t="s">
        <v>194</v>
      </c>
      <c r="F43" s="21" t="n">
        <v>11.2</v>
      </c>
      <c r="G43" s="21" t="n">
        <v>15360</v>
      </c>
      <c r="H43" s="21" t="n">
        <v>16128</v>
      </c>
      <c r="I43" s="21" t="n">
        <v>17280</v>
      </c>
      <c r="J43" s="22" t="n">
        <f aca="false">F43*G43</f>
        <v>172032</v>
      </c>
      <c r="K43" s="22" t="n">
        <f aca="false">F43*H43</f>
        <v>180633.6</v>
      </c>
      <c r="L43" s="22" t="n">
        <f aca="false">F43*I43</f>
        <v>193536</v>
      </c>
      <c r="M43" s="5" t="s">
        <v>386</v>
      </c>
    </row>
    <row r="44" customFormat="false" ht="15" hidden="false" customHeight="false" outlineLevel="0" collapsed="false">
      <c r="A44" s="5" t="s">
        <v>656</v>
      </c>
      <c r="B44" s="5" t="s">
        <v>301</v>
      </c>
      <c r="C44" s="5" t="s">
        <v>186</v>
      </c>
      <c r="D44" s="5" t="s">
        <v>302</v>
      </c>
      <c r="E44" s="5" t="s">
        <v>194</v>
      </c>
      <c r="F44" s="21" t="n">
        <v>43.26</v>
      </c>
      <c r="G44" s="21" t="n">
        <v>1152</v>
      </c>
      <c r="H44" s="21" t="n">
        <v>1209.6</v>
      </c>
      <c r="I44" s="21" t="n">
        <v>1296</v>
      </c>
      <c r="J44" s="22" t="n">
        <f aca="false">F44*G44</f>
        <v>49835.52</v>
      </c>
      <c r="K44" s="22" t="n">
        <f aca="false">F44*H44</f>
        <v>52327.296</v>
      </c>
      <c r="L44" s="22" t="n">
        <f aca="false">F44*I44</f>
        <v>56064.96</v>
      </c>
      <c r="M44" s="5" t="s">
        <v>388</v>
      </c>
    </row>
    <row r="45" customFormat="false" ht="15" hidden="false" customHeight="false" outlineLevel="0" collapsed="false">
      <c r="A45" s="5" t="s">
        <v>655</v>
      </c>
      <c r="B45" s="5" t="s">
        <v>657</v>
      </c>
      <c r="C45" s="5" t="s">
        <v>186</v>
      </c>
      <c r="D45" s="5" t="s">
        <v>658</v>
      </c>
      <c r="E45" s="5" t="s">
        <v>277</v>
      </c>
      <c r="F45" s="21" t="n">
        <v>445.84</v>
      </c>
      <c r="G45" s="21" t="n">
        <v>96</v>
      </c>
      <c r="H45" s="21" t="n">
        <v>96</v>
      </c>
      <c r="I45" s="21" t="n">
        <v>96</v>
      </c>
      <c r="J45" s="22" t="n">
        <f aca="false">F45*G45</f>
        <v>42800.64</v>
      </c>
      <c r="K45" s="22" t="n">
        <f aca="false">F45*H45</f>
        <v>42800.64</v>
      </c>
      <c r="L45" s="22" t="n">
        <f aca="false">F45*I45</f>
        <v>42800.64</v>
      </c>
      <c r="M45" s="5" t="s">
        <v>659</v>
      </c>
    </row>
    <row r="46" customFormat="false" ht="15" hidden="false" customHeight="false" outlineLevel="0" collapsed="false">
      <c r="A46" s="5" t="s">
        <v>656</v>
      </c>
      <c r="B46" s="5" t="s">
        <v>295</v>
      </c>
      <c r="C46" s="5" t="s">
        <v>186</v>
      </c>
      <c r="D46" s="5" t="s">
        <v>296</v>
      </c>
      <c r="E46" s="5" t="s">
        <v>277</v>
      </c>
      <c r="F46" s="21" t="n">
        <v>630.3</v>
      </c>
      <c r="G46" s="21" t="n">
        <v>96</v>
      </c>
      <c r="H46" s="21" t="n">
        <v>96</v>
      </c>
      <c r="I46" s="21" t="n">
        <v>96</v>
      </c>
      <c r="J46" s="22" t="n">
        <f aca="false">F46*G46</f>
        <v>60508.8</v>
      </c>
      <c r="K46" s="22" t="n">
        <f aca="false">F46*H46</f>
        <v>60508.8</v>
      </c>
      <c r="L46" s="22" t="n">
        <f aca="false">F46*I46</f>
        <v>60508.8</v>
      </c>
      <c r="M46" s="5" t="s">
        <v>660</v>
      </c>
    </row>
    <row r="47" customFormat="false" ht="15" hidden="false" customHeight="false" outlineLevel="0" collapsed="false">
      <c r="A47" s="5" t="s">
        <v>656</v>
      </c>
      <c r="B47" s="5" t="s">
        <v>298</v>
      </c>
      <c r="C47" s="5" t="s">
        <v>186</v>
      </c>
      <c r="D47" s="5" t="s">
        <v>299</v>
      </c>
      <c r="E47" s="5" t="s">
        <v>277</v>
      </c>
      <c r="F47" s="21" t="n">
        <v>368.02</v>
      </c>
      <c r="G47" s="21" t="n">
        <v>96</v>
      </c>
      <c r="H47" s="21" t="n">
        <v>96</v>
      </c>
      <c r="I47" s="21" t="n">
        <v>96</v>
      </c>
      <c r="J47" s="22" t="n">
        <f aca="false">F47*G47</f>
        <v>35329.92</v>
      </c>
      <c r="K47" s="22" t="n">
        <f aca="false">F47*H47</f>
        <v>35329.92</v>
      </c>
      <c r="L47" s="22" t="n">
        <f aca="false">F47*I47</f>
        <v>35329.92</v>
      </c>
      <c r="M47" s="5" t="s">
        <v>661</v>
      </c>
    </row>
    <row r="48" customFormat="false" ht="15" hidden="false" customHeight="false" outlineLevel="0" collapsed="false">
      <c r="A48" s="5" t="s">
        <v>656</v>
      </c>
      <c r="B48" s="5" t="s">
        <v>467</v>
      </c>
      <c r="C48" s="5" t="s">
        <v>186</v>
      </c>
      <c r="D48" s="5" t="s">
        <v>468</v>
      </c>
      <c r="E48" s="5" t="s">
        <v>277</v>
      </c>
      <c r="F48" s="21" t="n">
        <v>168.16</v>
      </c>
      <c r="G48" s="21" t="n">
        <v>96</v>
      </c>
      <c r="H48" s="21" t="n">
        <v>96</v>
      </c>
      <c r="I48" s="21" t="n">
        <v>96</v>
      </c>
      <c r="J48" s="22" t="n">
        <f aca="false">F48*G48</f>
        <v>16143.36</v>
      </c>
      <c r="K48" s="22" t="n">
        <f aca="false">F48*H48</f>
        <v>16143.36</v>
      </c>
      <c r="L48" s="22" t="n">
        <f aca="false">F48*I48</f>
        <v>16143.36</v>
      </c>
      <c r="M48" s="5" t="s">
        <v>662</v>
      </c>
    </row>
    <row r="49" customFormat="false" ht="15" hidden="false" customHeight="false" outlineLevel="0" collapsed="false">
      <c r="A49" s="5" t="s">
        <v>656</v>
      </c>
      <c r="B49" s="5" t="s">
        <v>663</v>
      </c>
      <c r="C49" s="5" t="s">
        <v>186</v>
      </c>
      <c r="D49" s="5" t="s">
        <v>664</v>
      </c>
      <c r="E49" s="5" t="s">
        <v>277</v>
      </c>
      <c r="F49" s="21" t="n">
        <v>426.5</v>
      </c>
      <c r="G49" s="21" t="n">
        <v>96</v>
      </c>
      <c r="H49" s="21" t="n">
        <v>96</v>
      </c>
      <c r="I49" s="21" t="n">
        <v>96</v>
      </c>
      <c r="J49" s="22" t="n">
        <f aca="false">F49*G49</f>
        <v>40944</v>
      </c>
      <c r="K49" s="22" t="n">
        <f aca="false">F49*H49</f>
        <v>40944</v>
      </c>
      <c r="L49" s="22" t="n">
        <f aca="false">F49*I49</f>
        <v>40944</v>
      </c>
      <c r="M49" s="5" t="s">
        <v>665</v>
      </c>
    </row>
    <row r="50" customFormat="false" ht="15" hidden="false" customHeight="false" outlineLevel="0" collapsed="false">
      <c r="A50" s="5" t="s">
        <v>656</v>
      </c>
      <c r="B50" s="5" t="s">
        <v>666</v>
      </c>
      <c r="C50" s="5" t="s">
        <v>186</v>
      </c>
      <c r="D50" s="5" t="s">
        <v>667</v>
      </c>
      <c r="E50" s="5" t="s">
        <v>277</v>
      </c>
      <c r="F50" s="21" t="n">
        <v>609.43</v>
      </c>
      <c r="G50" s="21" t="n">
        <v>96</v>
      </c>
      <c r="H50" s="21" t="n">
        <v>96</v>
      </c>
      <c r="I50" s="21" t="n">
        <v>96</v>
      </c>
      <c r="J50" s="22" t="n">
        <f aca="false">F50*G50</f>
        <v>58505.28</v>
      </c>
      <c r="K50" s="22" t="n">
        <f aca="false">F50*H50</f>
        <v>58505.28</v>
      </c>
      <c r="L50" s="22" t="n">
        <f aca="false">F50*I50</f>
        <v>58505.28</v>
      </c>
      <c r="M50" s="5" t="s">
        <v>668</v>
      </c>
    </row>
    <row r="51" customFormat="false" ht="15" hidden="false" customHeight="false" outlineLevel="0" collapsed="false">
      <c r="A51" s="5" t="s">
        <v>669</v>
      </c>
      <c r="B51" s="5" t="s">
        <v>630</v>
      </c>
      <c r="C51" s="5" t="s">
        <v>186</v>
      </c>
      <c r="D51" s="5" t="s">
        <v>631</v>
      </c>
      <c r="E51" s="5" t="s">
        <v>188</v>
      </c>
      <c r="F51" s="21" t="n">
        <v>15.04</v>
      </c>
      <c r="G51" s="21" t="n">
        <v>5250</v>
      </c>
      <c r="H51" s="21" t="n">
        <v>7000</v>
      </c>
      <c r="I51" s="21" t="n">
        <v>10500</v>
      </c>
      <c r="J51" s="22" t="n">
        <f aca="false">F51*G51</f>
        <v>78960</v>
      </c>
      <c r="K51" s="22" t="n">
        <f aca="false">F51*H51</f>
        <v>105280</v>
      </c>
      <c r="L51" s="22" t="n">
        <f aca="false">F51*I51</f>
        <v>157920</v>
      </c>
      <c r="M51" s="5" t="s">
        <v>670</v>
      </c>
    </row>
    <row r="52" customFormat="false" ht="15" hidden="false" customHeight="false" outlineLevel="0" collapsed="false">
      <c r="A52" s="5" t="s">
        <v>671</v>
      </c>
      <c r="B52" s="5" t="s">
        <v>367</v>
      </c>
      <c r="C52" s="5" t="s">
        <v>186</v>
      </c>
      <c r="D52" s="5" t="s">
        <v>368</v>
      </c>
      <c r="E52" s="5" t="s">
        <v>188</v>
      </c>
      <c r="F52" s="21" t="n">
        <v>91.17</v>
      </c>
      <c r="G52" s="21" t="n">
        <v>1500</v>
      </c>
      <c r="H52" s="21" t="n">
        <v>2000</v>
      </c>
      <c r="I52" s="21" t="n">
        <v>3000</v>
      </c>
      <c r="J52" s="22" t="n">
        <f aca="false">F52*G52</f>
        <v>136755</v>
      </c>
      <c r="K52" s="22" t="n">
        <f aca="false">F52*H52</f>
        <v>182340</v>
      </c>
      <c r="L52" s="22" t="n">
        <f aca="false">F52*I52</f>
        <v>273510</v>
      </c>
      <c r="M52" s="5" t="s">
        <v>672</v>
      </c>
    </row>
    <row r="53" customFormat="false" ht="15" hidden="false" customHeight="false" outlineLevel="0" collapsed="false">
      <c r="I53" s="7" t="s">
        <v>323</v>
      </c>
      <c r="J53" s="23" t="n">
        <f aca="false">SUM(J19:J52)</f>
        <v>5904797.176</v>
      </c>
      <c r="K53" s="23" t="n">
        <f aca="false">SUM(K19:K52)</f>
        <v>6248444.6848</v>
      </c>
      <c r="L53" s="23" t="n">
        <f aca="false">SUM(L19:L52)</f>
        <v>6799868.448</v>
      </c>
    </row>
    <row r="54" customFormat="false" ht="15" hidden="false" customHeight="false" outlineLevel="0" collapsed="false">
      <c r="I54" s="7" t="s">
        <v>324</v>
      </c>
      <c r="J54" s="24" t="n">
        <f aca="false">PARAMETROS!$B$6</f>
        <v>0.2034</v>
      </c>
      <c r="K54" s="24" t="n">
        <f aca="false">PARAMETROS!$C$6</f>
        <v>0.2212</v>
      </c>
      <c r="L54" s="24" t="n">
        <f aca="false">PARAMETROS!$D$6</f>
        <v>0.25</v>
      </c>
    </row>
    <row r="55" customFormat="false" ht="15" hidden="false" customHeight="false" outlineLevel="0" collapsed="false">
      <c r="I55" s="7" t="s">
        <v>325</v>
      </c>
      <c r="J55" s="24" t="n">
        <f aca="false">PARAMETROS!$B$8</f>
        <v>0.05</v>
      </c>
      <c r="K55" s="24" t="n">
        <f aca="false">PARAMETROS!$C$8</f>
        <v>0.1</v>
      </c>
      <c r="L55" s="24" t="n">
        <f aca="false">PARAMETROS!$D$8</f>
        <v>0.15</v>
      </c>
    </row>
    <row r="56" customFormat="false" ht="15" hidden="false" customHeight="false" outlineLevel="0" collapsed="false">
      <c r="I56" s="7" t="s">
        <v>155</v>
      </c>
      <c r="J56" s="25" t="n">
        <f aca="false">PARAMETROS!$B$9</f>
        <v>1</v>
      </c>
      <c r="K56" s="25" t="n">
        <f aca="false">PARAMETROS!$C$9</f>
        <v>1</v>
      </c>
      <c r="L56" s="25" t="n">
        <f aca="false">PARAMETROS!$D$9</f>
        <v>1.1</v>
      </c>
    </row>
    <row r="57" customFormat="false" ht="15" hidden="false" customHeight="false" outlineLevel="0" collapsed="false">
      <c r="I57" s="7" t="s">
        <v>326</v>
      </c>
      <c r="J57" s="8" t="n">
        <f aca="false">J53*(1+J54)*(1+J55)*J56</f>
        <v>7461124.56767832</v>
      </c>
      <c r="K57" s="8" t="n">
        <f aca="false">K53*(1+K54)*(1+K55)*K56</f>
        <v>8393660.71398554</v>
      </c>
      <c r="L57" s="8" t="n">
        <f aca="false">L53*(1+L54)*(1+L55)*L56</f>
        <v>10752291.9834</v>
      </c>
    </row>
    <row r="59" customFormat="false" ht="15" hidden="false" customHeight="false" outlineLevel="0" collapsed="false">
      <c r="A59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673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67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58</v>
      </c>
    </row>
    <row r="7" customFormat="false" ht="15" hidden="false" customHeight="false" outlineLevel="0" collapsed="false">
      <c r="A7" s="7" t="s">
        <v>8</v>
      </c>
      <c r="B7" s="10" t="s">
        <v>23</v>
      </c>
    </row>
    <row r="8" customFormat="false" ht="15" hidden="false" customHeight="false" outlineLevel="0" collapsed="false">
      <c r="A8" s="7" t="s">
        <v>160</v>
      </c>
      <c r="B8" s="10" t="s">
        <v>674</v>
      </c>
    </row>
    <row r="9" customFormat="false" ht="15" hidden="false" customHeight="false" outlineLevel="0" collapsed="false">
      <c r="A9" s="7" t="s">
        <v>9</v>
      </c>
      <c r="B9" s="10" t="s">
        <v>69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675</v>
      </c>
    </row>
    <row r="13" customFormat="false" ht="15" hidden="false" customHeight="false" outlineLevel="0" collapsed="false">
      <c r="B13" s="20" t="s">
        <v>676</v>
      </c>
    </row>
    <row r="14" customFormat="false" ht="15" hidden="false" customHeight="false" outlineLevel="0" collapsed="false">
      <c r="B14" s="20" t="s">
        <v>332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677</v>
      </c>
      <c r="B17" s="5" t="s">
        <v>334</v>
      </c>
      <c r="C17" s="5" t="s">
        <v>186</v>
      </c>
      <c r="D17" s="5" t="s">
        <v>335</v>
      </c>
      <c r="E17" s="5" t="s">
        <v>194</v>
      </c>
      <c r="F17" s="21" t="n">
        <v>75.94</v>
      </c>
      <c r="G17" s="21" t="n">
        <v>67.5</v>
      </c>
      <c r="H17" s="21" t="n">
        <v>112.5</v>
      </c>
      <c r="I17" s="21" t="n">
        <v>157.5</v>
      </c>
      <c r="J17" s="22" t="n">
        <f aca="false">F17*G17</f>
        <v>5125.95</v>
      </c>
      <c r="K17" s="22" t="n">
        <f aca="false">F17*H17</f>
        <v>8543.25</v>
      </c>
      <c r="L17" s="22" t="n">
        <f aca="false">F17*I17</f>
        <v>11960.55</v>
      </c>
      <c r="M17" s="5" t="s">
        <v>336</v>
      </c>
    </row>
    <row r="18" customFormat="false" ht="15" hidden="false" customHeight="false" outlineLevel="0" collapsed="false">
      <c r="A18" s="5" t="s">
        <v>678</v>
      </c>
      <c r="B18" s="5" t="s">
        <v>338</v>
      </c>
      <c r="C18" s="5" t="s">
        <v>186</v>
      </c>
      <c r="D18" s="5" t="s">
        <v>339</v>
      </c>
      <c r="E18" s="5" t="s">
        <v>317</v>
      </c>
      <c r="F18" s="21" t="n">
        <v>103.4</v>
      </c>
      <c r="G18" s="21" t="n">
        <v>21.6</v>
      </c>
      <c r="H18" s="21" t="n">
        <v>36</v>
      </c>
      <c r="I18" s="21" t="n">
        <v>50.4</v>
      </c>
      <c r="J18" s="22" t="n">
        <f aca="false">F18*G18</f>
        <v>2233.44</v>
      </c>
      <c r="K18" s="22" t="n">
        <f aca="false">F18*H18</f>
        <v>3722.4</v>
      </c>
      <c r="L18" s="22" t="n">
        <f aca="false">F18*I18</f>
        <v>5211.36</v>
      </c>
      <c r="M18" s="5" t="s">
        <v>340</v>
      </c>
    </row>
    <row r="19" customFormat="false" ht="15" hidden="false" customHeight="false" outlineLevel="0" collapsed="false">
      <c r="A19" s="5" t="s">
        <v>678</v>
      </c>
      <c r="B19" s="5" t="s">
        <v>341</v>
      </c>
      <c r="C19" s="5" t="s">
        <v>186</v>
      </c>
      <c r="D19" s="5" t="s">
        <v>342</v>
      </c>
      <c r="E19" s="5" t="s">
        <v>317</v>
      </c>
      <c r="F19" s="21" t="n">
        <v>828.32</v>
      </c>
      <c r="G19" s="21" t="n">
        <v>32.4</v>
      </c>
      <c r="H19" s="21" t="n">
        <v>54</v>
      </c>
      <c r="I19" s="21" t="n">
        <v>75.6</v>
      </c>
      <c r="J19" s="22" t="n">
        <f aca="false">F19*G19</f>
        <v>26837.568</v>
      </c>
      <c r="K19" s="22" t="n">
        <f aca="false">F19*H19</f>
        <v>44729.28</v>
      </c>
      <c r="L19" s="22" t="n">
        <f aca="false">F19*I19</f>
        <v>62620.992</v>
      </c>
      <c r="M19" s="5" t="s">
        <v>343</v>
      </c>
    </row>
    <row r="20" customFormat="false" ht="15" hidden="false" customHeight="false" outlineLevel="0" collapsed="false">
      <c r="A20" s="5" t="s">
        <v>678</v>
      </c>
      <c r="B20" s="5" t="s">
        <v>344</v>
      </c>
      <c r="C20" s="5" t="s">
        <v>186</v>
      </c>
      <c r="D20" s="5" t="s">
        <v>345</v>
      </c>
      <c r="E20" s="5" t="s">
        <v>346</v>
      </c>
      <c r="F20" s="21" t="n">
        <v>10.41</v>
      </c>
      <c r="G20" s="21" t="n">
        <v>2700</v>
      </c>
      <c r="H20" s="21" t="n">
        <v>4500</v>
      </c>
      <c r="I20" s="21" t="n">
        <v>6300</v>
      </c>
      <c r="J20" s="22" t="n">
        <f aca="false">F20*G20</f>
        <v>28107</v>
      </c>
      <c r="K20" s="22" t="n">
        <f aca="false">F20*H20</f>
        <v>46845</v>
      </c>
      <c r="L20" s="22" t="n">
        <f aca="false">F20*I20</f>
        <v>65583</v>
      </c>
      <c r="M20" s="5" t="s">
        <v>347</v>
      </c>
    </row>
    <row r="21" customFormat="false" ht="15" hidden="false" customHeight="false" outlineLevel="0" collapsed="false">
      <c r="A21" s="5" t="s">
        <v>678</v>
      </c>
      <c r="B21" s="5" t="s">
        <v>348</v>
      </c>
      <c r="C21" s="5" t="s">
        <v>186</v>
      </c>
      <c r="D21" s="5" t="s">
        <v>349</v>
      </c>
      <c r="E21" s="5" t="s">
        <v>188</v>
      </c>
      <c r="F21" s="21" t="n">
        <v>122.64</v>
      </c>
      <c r="G21" s="21" t="n">
        <v>297</v>
      </c>
      <c r="H21" s="21" t="n">
        <v>495</v>
      </c>
      <c r="I21" s="21" t="n">
        <v>693</v>
      </c>
      <c r="J21" s="22" t="n">
        <f aca="false">F21*G21</f>
        <v>36424.08</v>
      </c>
      <c r="K21" s="22" t="n">
        <f aca="false">F21*H21</f>
        <v>60706.8</v>
      </c>
      <c r="L21" s="22" t="n">
        <f aca="false">F21*I21</f>
        <v>84989.52</v>
      </c>
      <c r="M21" s="5" t="s">
        <v>350</v>
      </c>
    </row>
    <row r="22" customFormat="false" ht="15" hidden="false" customHeight="false" outlineLevel="0" collapsed="false">
      <c r="A22" s="5" t="s">
        <v>679</v>
      </c>
      <c r="B22" s="5" t="s">
        <v>352</v>
      </c>
      <c r="C22" s="5" t="s">
        <v>186</v>
      </c>
      <c r="D22" s="5" t="s">
        <v>353</v>
      </c>
      <c r="E22" s="5" t="s">
        <v>188</v>
      </c>
      <c r="F22" s="21" t="n">
        <v>119.54</v>
      </c>
      <c r="G22" s="21" t="n">
        <v>405</v>
      </c>
      <c r="H22" s="21" t="n">
        <v>675</v>
      </c>
      <c r="I22" s="21" t="n">
        <v>945</v>
      </c>
      <c r="J22" s="22" t="n">
        <f aca="false">F22*G22</f>
        <v>48413.7</v>
      </c>
      <c r="K22" s="22" t="n">
        <f aca="false">F22*H22</f>
        <v>80689.5</v>
      </c>
      <c r="L22" s="22" t="n">
        <f aca="false">F22*I22</f>
        <v>112965.3</v>
      </c>
      <c r="M22" s="5" t="s">
        <v>354</v>
      </c>
    </row>
    <row r="23" customFormat="false" ht="15" hidden="false" customHeight="false" outlineLevel="0" collapsed="false">
      <c r="A23" s="5" t="s">
        <v>679</v>
      </c>
      <c r="B23" s="5" t="s">
        <v>249</v>
      </c>
      <c r="C23" s="5" t="s">
        <v>186</v>
      </c>
      <c r="D23" s="5" t="s">
        <v>250</v>
      </c>
      <c r="E23" s="5" t="s">
        <v>188</v>
      </c>
      <c r="F23" s="21" t="n">
        <v>6.03</v>
      </c>
      <c r="G23" s="21" t="n">
        <v>810</v>
      </c>
      <c r="H23" s="21" t="n">
        <v>1350</v>
      </c>
      <c r="I23" s="21" t="n">
        <v>1890</v>
      </c>
      <c r="J23" s="22" t="n">
        <f aca="false">F23*G23</f>
        <v>4884.3</v>
      </c>
      <c r="K23" s="22" t="n">
        <f aca="false">F23*H23</f>
        <v>8140.5</v>
      </c>
      <c r="L23" s="22" t="n">
        <f aca="false">F23*I23</f>
        <v>11396.7</v>
      </c>
      <c r="M23" s="5" t="s">
        <v>355</v>
      </c>
    </row>
    <row r="24" customFormat="false" ht="15" hidden="false" customHeight="false" outlineLevel="0" collapsed="false">
      <c r="A24" s="5" t="s">
        <v>679</v>
      </c>
      <c r="B24" s="5" t="s">
        <v>252</v>
      </c>
      <c r="C24" s="5" t="s">
        <v>186</v>
      </c>
      <c r="D24" s="5" t="s">
        <v>253</v>
      </c>
      <c r="E24" s="5" t="s">
        <v>188</v>
      </c>
      <c r="F24" s="21" t="n">
        <v>31.79</v>
      </c>
      <c r="G24" s="21" t="n">
        <v>648</v>
      </c>
      <c r="H24" s="21" t="n">
        <v>1080</v>
      </c>
      <c r="I24" s="21" t="n">
        <v>1512</v>
      </c>
      <c r="J24" s="22" t="n">
        <f aca="false">F24*G24</f>
        <v>20599.92</v>
      </c>
      <c r="K24" s="22" t="n">
        <f aca="false">F24*H24</f>
        <v>34333.2</v>
      </c>
      <c r="L24" s="22" t="n">
        <f aca="false">F24*I24</f>
        <v>48066.48</v>
      </c>
      <c r="M24" s="5" t="s">
        <v>356</v>
      </c>
    </row>
    <row r="25" customFormat="false" ht="15" hidden="false" customHeight="false" outlineLevel="0" collapsed="false">
      <c r="A25" s="5" t="s">
        <v>679</v>
      </c>
      <c r="B25" s="5" t="s">
        <v>357</v>
      </c>
      <c r="C25" s="5" t="s">
        <v>186</v>
      </c>
      <c r="D25" s="5" t="s">
        <v>358</v>
      </c>
      <c r="E25" s="5" t="s">
        <v>188</v>
      </c>
      <c r="F25" s="21" t="n">
        <v>83.28</v>
      </c>
      <c r="G25" s="21" t="n">
        <v>162</v>
      </c>
      <c r="H25" s="21" t="n">
        <v>270</v>
      </c>
      <c r="I25" s="21" t="n">
        <v>378</v>
      </c>
      <c r="J25" s="22" t="n">
        <f aca="false">F25*G25</f>
        <v>13491.36</v>
      </c>
      <c r="K25" s="22" t="n">
        <f aca="false">F25*H25</f>
        <v>22485.6</v>
      </c>
      <c r="L25" s="22" t="n">
        <f aca="false">F25*I25</f>
        <v>31479.84</v>
      </c>
      <c r="M25" s="5" t="s">
        <v>359</v>
      </c>
    </row>
    <row r="26" customFormat="false" ht="15" hidden="false" customHeight="false" outlineLevel="0" collapsed="false">
      <c r="A26" s="5" t="s">
        <v>679</v>
      </c>
      <c r="B26" s="5" t="s">
        <v>255</v>
      </c>
      <c r="C26" s="5" t="s">
        <v>186</v>
      </c>
      <c r="D26" s="5" t="s">
        <v>256</v>
      </c>
      <c r="E26" s="5" t="s">
        <v>188</v>
      </c>
      <c r="F26" s="21" t="n">
        <v>59.3</v>
      </c>
      <c r="G26" s="21" t="n">
        <v>81</v>
      </c>
      <c r="H26" s="21" t="n">
        <v>135</v>
      </c>
      <c r="I26" s="21" t="n">
        <v>189</v>
      </c>
      <c r="J26" s="22" t="n">
        <f aca="false">F26*G26</f>
        <v>4803.3</v>
      </c>
      <c r="K26" s="22" t="n">
        <f aca="false">F26*H26</f>
        <v>8005.5</v>
      </c>
      <c r="L26" s="22" t="n">
        <f aca="false">F26*I26</f>
        <v>11207.7</v>
      </c>
      <c r="M26" s="5" t="s">
        <v>360</v>
      </c>
    </row>
    <row r="27" customFormat="false" ht="15" hidden="false" customHeight="false" outlineLevel="0" collapsed="false">
      <c r="A27" s="5" t="s">
        <v>680</v>
      </c>
      <c r="B27" s="5" t="s">
        <v>362</v>
      </c>
      <c r="C27" s="5" t="s">
        <v>186</v>
      </c>
      <c r="D27" s="5" t="s">
        <v>363</v>
      </c>
      <c r="E27" s="5" t="s">
        <v>188</v>
      </c>
      <c r="F27" s="21" t="n">
        <v>48.41</v>
      </c>
      <c r="G27" s="21" t="n">
        <v>270</v>
      </c>
      <c r="H27" s="21" t="n">
        <v>450</v>
      </c>
      <c r="I27" s="21" t="n">
        <v>630</v>
      </c>
      <c r="J27" s="22" t="n">
        <f aca="false">F27*G27</f>
        <v>13070.7</v>
      </c>
      <c r="K27" s="22" t="n">
        <f aca="false">F27*H27</f>
        <v>21784.5</v>
      </c>
      <c r="L27" s="22" t="n">
        <f aca="false">F27*I27</f>
        <v>30498.3</v>
      </c>
      <c r="M27" s="5" t="s">
        <v>364</v>
      </c>
    </row>
    <row r="28" customFormat="false" ht="15" hidden="false" customHeight="false" outlineLevel="0" collapsed="false">
      <c r="A28" s="5" t="s">
        <v>680</v>
      </c>
      <c r="B28" s="5" t="s">
        <v>258</v>
      </c>
      <c r="C28" s="5" t="s">
        <v>186</v>
      </c>
      <c r="D28" s="5" t="s">
        <v>259</v>
      </c>
      <c r="E28" s="5" t="s">
        <v>188</v>
      </c>
      <c r="F28" s="21" t="n">
        <v>58.19</v>
      </c>
      <c r="G28" s="21" t="n">
        <v>270</v>
      </c>
      <c r="H28" s="21" t="n">
        <v>450</v>
      </c>
      <c r="I28" s="21" t="n">
        <v>630</v>
      </c>
      <c r="J28" s="22" t="n">
        <f aca="false">F28*G28</f>
        <v>15711.3</v>
      </c>
      <c r="K28" s="22" t="n">
        <f aca="false">F28*H28</f>
        <v>26185.5</v>
      </c>
      <c r="L28" s="22" t="n">
        <f aca="false">F28*I28</f>
        <v>36659.7</v>
      </c>
      <c r="M28" s="5" t="s">
        <v>365</v>
      </c>
    </row>
    <row r="29" customFormat="false" ht="15" hidden="false" customHeight="false" outlineLevel="0" collapsed="false">
      <c r="A29" s="5" t="s">
        <v>680</v>
      </c>
      <c r="B29" s="5" t="s">
        <v>261</v>
      </c>
      <c r="C29" s="5" t="s">
        <v>186</v>
      </c>
      <c r="D29" s="5" t="s">
        <v>262</v>
      </c>
      <c r="E29" s="5" t="s">
        <v>188</v>
      </c>
      <c r="F29" s="21" t="n">
        <v>50.14</v>
      </c>
      <c r="G29" s="21" t="n">
        <v>270</v>
      </c>
      <c r="H29" s="21" t="n">
        <v>450</v>
      </c>
      <c r="I29" s="21" t="n">
        <v>630</v>
      </c>
      <c r="J29" s="22" t="n">
        <f aca="false">F29*G29</f>
        <v>13537.8</v>
      </c>
      <c r="K29" s="22" t="n">
        <f aca="false">F29*H29</f>
        <v>22563</v>
      </c>
      <c r="L29" s="22" t="n">
        <f aca="false">F29*I29</f>
        <v>31588.2</v>
      </c>
      <c r="M29" s="5" t="s">
        <v>366</v>
      </c>
    </row>
    <row r="30" customFormat="false" ht="15" hidden="false" customHeight="false" outlineLevel="0" collapsed="false">
      <c r="A30" s="5" t="s">
        <v>680</v>
      </c>
      <c r="B30" s="5" t="s">
        <v>367</v>
      </c>
      <c r="C30" s="5" t="s">
        <v>186</v>
      </c>
      <c r="D30" s="5" t="s">
        <v>368</v>
      </c>
      <c r="E30" s="5" t="s">
        <v>188</v>
      </c>
      <c r="F30" s="21" t="n">
        <v>91.17</v>
      </c>
      <c r="G30" s="21" t="n">
        <v>40.5</v>
      </c>
      <c r="H30" s="21" t="n">
        <v>67.5</v>
      </c>
      <c r="I30" s="21" t="n">
        <v>94.5</v>
      </c>
      <c r="J30" s="22" t="n">
        <f aca="false">F30*G30</f>
        <v>3692.385</v>
      </c>
      <c r="K30" s="22" t="n">
        <f aca="false">F30*H30</f>
        <v>6153.975</v>
      </c>
      <c r="L30" s="22" t="n">
        <f aca="false">F30*I30</f>
        <v>8615.565</v>
      </c>
      <c r="M30" s="5" t="s">
        <v>369</v>
      </c>
    </row>
    <row r="31" customFormat="false" ht="15" hidden="false" customHeight="false" outlineLevel="0" collapsed="false">
      <c r="A31" s="5" t="s">
        <v>681</v>
      </c>
      <c r="B31" s="5" t="s">
        <v>239</v>
      </c>
      <c r="C31" s="5" t="s">
        <v>186</v>
      </c>
      <c r="D31" s="5" t="s">
        <v>240</v>
      </c>
      <c r="E31" s="5" t="s">
        <v>188</v>
      </c>
      <c r="F31" s="21" t="n">
        <v>101.54</v>
      </c>
      <c r="G31" s="21" t="n">
        <v>337.5</v>
      </c>
      <c r="H31" s="21" t="n">
        <v>562.5</v>
      </c>
      <c r="I31" s="21" t="n">
        <v>787.5</v>
      </c>
      <c r="J31" s="22" t="n">
        <f aca="false">F31*G31</f>
        <v>34269.75</v>
      </c>
      <c r="K31" s="22" t="n">
        <f aca="false">F31*H31</f>
        <v>57116.25</v>
      </c>
      <c r="L31" s="22" t="n">
        <f aca="false">F31*I31</f>
        <v>79962.75</v>
      </c>
      <c r="M31" s="5" t="s">
        <v>371</v>
      </c>
    </row>
    <row r="32" customFormat="false" ht="15" hidden="false" customHeight="false" outlineLevel="0" collapsed="false">
      <c r="A32" s="5" t="s">
        <v>681</v>
      </c>
      <c r="B32" s="5" t="s">
        <v>242</v>
      </c>
      <c r="C32" s="5" t="s">
        <v>186</v>
      </c>
      <c r="D32" s="5" t="s">
        <v>243</v>
      </c>
      <c r="E32" s="5" t="s">
        <v>188</v>
      </c>
      <c r="F32" s="21" t="n">
        <v>42.42</v>
      </c>
      <c r="G32" s="21" t="n">
        <v>337.5</v>
      </c>
      <c r="H32" s="21" t="n">
        <v>562.5</v>
      </c>
      <c r="I32" s="21" t="n">
        <v>787.5</v>
      </c>
      <c r="J32" s="22" t="n">
        <f aca="false">F32*G32</f>
        <v>14316.75</v>
      </c>
      <c r="K32" s="22" t="n">
        <f aca="false">F32*H32</f>
        <v>23861.25</v>
      </c>
      <c r="L32" s="22" t="n">
        <f aca="false">F32*I32</f>
        <v>33405.75</v>
      </c>
      <c r="M32" s="5" t="s">
        <v>372</v>
      </c>
    </row>
    <row r="33" customFormat="false" ht="15" hidden="false" customHeight="false" outlineLevel="0" collapsed="false">
      <c r="A33" s="5" t="s">
        <v>681</v>
      </c>
      <c r="B33" s="5" t="s">
        <v>245</v>
      </c>
      <c r="C33" s="5" t="s">
        <v>186</v>
      </c>
      <c r="D33" s="5" t="s">
        <v>246</v>
      </c>
      <c r="E33" s="5" t="s">
        <v>188</v>
      </c>
      <c r="F33" s="21" t="n">
        <v>73.2</v>
      </c>
      <c r="G33" s="21" t="n">
        <v>243</v>
      </c>
      <c r="H33" s="21" t="n">
        <v>405</v>
      </c>
      <c r="I33" s="21" t="n">
        <v>567</v>
      </c>
      <c r="J33" s="22" t="n">
        <f aca="false">F33*G33</f>
        <v>17787.6</v>
      </c>
      <c r="K33" s="22" t="n">
        <f aca="false">F33*H33</f>
        <v>29646</v>
      </c>
      <c r="L33" s="22" t="n">
        <f aca="false">F33*I33</f>
        <v>41504.4</v>
      </c>
      <c r="M33" s="5" t="s">
        <v>373</v>
      </c>
    </row>
    <row r="34" customFormat="false" ht="15" hidden="false" customHeight="false" outlineLevel="0" collapsed="false">
      <c r="A34" s="5" t="s">
        <v>682</v>
      </c>
      <c r="B34" s="5" t="s">
        <v>275</v>
      </c>
      <c r="C34" s="5" t="s">
        <v>186</v>
      </c>
      <c r="D34" s="5" t="s">
        <v>276</v>
      </c>
      <c r="E34" s="5" t="s">
        <v>277</v>
      </c>
      <c r="F34" s="21" t="n">
        <v>1179.17</v>
      </c>
      <c r="G34" s="21" t="n">
        <v>18</v>
      </c>
      <c r="H34" s="21" t="n">
        <v>30</v>
      </c>
      <c r="I34" s="21" t="n">
        <v>42</v>
      </c>
      <c r="J34" s="22" t="n">
        <f aca="false">F34*G34</f>
        <v>21225.06</v>
      </c>
      <c r="K34" s="22" t="n">
        <f aca="false">F34*H34</f>
        <v>35375.1</v>
      </c>
      <c r="L34" s="22" t="n">
        <f aca="false">F34*I34</f>
        <v>49525.14</v>
      </c>
      <c r="M34" s="5" t="s">
        <v>375</v>
      </c>
    </row>
    <row r="35" customFormat="false" ht="15" hidden="false" customHeight="false" outlineLevel="0" collapsed="false">
      <c r="A35" s="5" t="s">
        <v>682</v>
      </c>
      <c r="B35" s="5" t="s">
        <v>272</v>
      </c>
      <c r="C35" s="5" t="s">
        <v>186</v>
      </c>
      <c r="D35" s="5" t="s">
        <v>273</v>
      </c>
      <c r="E35" s="5" t="s">
        <v>188</v>
      </c>
      <c r="F35" s="21" t="n">
        <v>223.25</v>
      </c>
      <c r="G35" s="21" t="n">
        <v>40.5</v>
      </c>
      <c r="H35" s="21" t="n">
        <v>67.5</v>
      </c>
      <c r="I35" s="21" t="n">
        <v>94.5</v>
      </c>
      <c r="J35" s="22" t="n">
        <f aca="false">F35*G35</f>
        <v>9041.625</v>
      </c>
      <c r="K35" s="22" t="n">
        <f aca="false">F35*H35</f>
        <v>15069.375</v>
      </c>
      <c r="L35" s="22" t="n">
        <f aca="false">F35*I35</f>
        <v>21097.125</v>
      </c>
      <c r="M35" s="5" t="s">
        <v>376</v>
      </c>
    </row>
    <row r="36" customFormat="false" ht="15" hidden="false" customHeight="false" outlineLevel="0" collapsed="false">
      <c r="A36" s="5" t="s">
        <v>683</v>
      </c>
      <c r="B36" s="5" t="s">
        <v>265</v>
      </c>
      <c r="C36" s="5" t="s">
        <v>186</v>
      </c>
      <c r="D36" s="5" t="s">
        <v>266</v>
      </c>
      <c r="E36" s="5" t="s">
        <v>188</v>
      </c>
      <c r="F36" s="21" t="n">
        <v>12.33</v>
      </c>
      <c r="G36" s="21" t="n">
        <v>648</v>
      </c>
      <c r="H36" s="21" t="n">
        <v>1080</v>
      </c>
      <c r="I36" s="21" t="n">
        <v>1512</v>
      </c>
      <c r="J36" s="22" t="n">
        <f aca="false">F36*G36</f>
        <v>7989.84</v>
      </c>
      <c r="K36" s="22" t="n">
        <f aca="false">F36*H36</f>
        <v>13316.4</v>
      </c>
      <c r="L36" s="22" t="n">
        <f aca="false">F36*I36</f>
        <v>18642.96</v>
      </c>
      <c r="M36" s="5" t="s">
        <v>378</v>
      </c>
    </row>
    <row r="37" customFormat="false" ht="15" hidden="false" customHeight="false" outlineLevel="0" collapsed="false">
      <c r="A37" s="5" t="s">
        <v>683</v>
      </c>
      <c r="B37" s="5" t="s">
        <v>379</v>
      </c>
      <c r="C37" s="5" t="s">
        <v>186</v>
      </c>
      <c r="D37" s="5" t="s">
        <v>380</v>
      </c>
      <c r="E37" s="5" t="s">
        <v>188</v>
      </c>
      <c r="F37" s="21" t="n">
        <v>23.22</v>
      </c>
      <c r="G37" s="21" t="n">
        <v>162</v>
      </c>
      <c r="H37" s="21" t="n">
        <v>270</v>
      </c>
      <c r="I37" s="21" t="n">
        <v>378</v>
      </c>
      <c r="J37" s="22" t="n">
        <f aca="false">F37*G37</f>
        <v>3761.64</v>
      </c>
      <c r="K37" s="22" t="n">
        <f aca="false">F37*H37</f>
        <v>6269.4</v>
      </c>
      <c r="L37" s="22" t="n">
        <f aca="false">F37*I37</f>
        <v>8777.16</v>
      </c>
      <c r="M37" s="5" t="s">
        <v>381</v>
      </c>
    </row>
    <row r="38" customFormat="false" ht="15" hidden="false" customHeight="false" outlineLevel="0" collapsed="false">
      <c r="A38" s="5" t="s">
        <v>684</v>
      </c>
      <c r="B38" s="5" t="s">
        <v>280</v>
      </c>
      <c r="C38" s="5" t="s">
        <v>186</v>
      </c>
      <c r="D38" s="5" t="s">
        <v>281</v>
      </c>
      <c r="E38" s="5" t="s">
        <v>277</v>
      </c>
      <c r="F38" s="21" t="n">
        <v>53.69</v>
      </c>
      <c r="G38" s="21" t="n">
        <v>45</v>
      </c>
      <c r="H38" s="21" t="n">
        <v>75</v>
      </c>
      <c r="I38" s="21" t="n">
        <v>105</v>
      </c>
      <c r="J38" s="22" t="n">
        <f aca="false">F38*G38</f>
        <v>2416.05</v>
      </c>
      <c r="K38" s="22" t="n">
        <f aca="false">F38*H38</f>
        <v>4026.75</v>
      </c>
      <c r="L38" s="22" t="n">
        <f aca="false">F38*I38</f>
        <v>5637.45</v>
      </c>
      <c r="M38" s="5" t="s">
        <v>383</v>
      </c>
    </row>
    <row r="39" customFormat="false" ht="15" hidden="false" customHeight="false" outlineLevel="0" collapsed="false">
      <c r="A39" s="5" t="s">
        <v>684</v>
      </c>
      <c r="B39" s="5" t="s">
        <v>283</v>
      </c>
      <c r="C39" s="5" t="s">
        <v>186</v>
      </c>
      <c r="D39" s="5" t="s">
        <v>284</v>
      </c>
      <c r="E39" s="5" t="s">
        <v>277</v>
      </c>
      <c r="F39" s="21" t="n">
        <v>30.86</v>
      </c>
      <c r="G39" s="21" t="n">
        <v>33.75</v>
      </c>
      <c r="H39" s="21" t="n">
        <v>56.25</v>
      </c>
      <c r="I39" s="21" t="n">
        <v>78.75</v>
      </c>
      <c r="J39" s="22" t="n">
        <f aca="false">F39*G39</f>
        <v>1041.525</v>
      </c>
      <c r="K39" s="22" t="n">
        <f aca="false">F39*H39</f>
        <v>1735.875</v>
      </c>
      <c r="L39" s="22" t="n">
        <f aca="false">F39*I39</f>
        <v>2430.225</v>
      </c>
      <c r="M39" s="5" t="s">
        <v>384</v>
      </c>
    </row>
    <row r="40" customFormat="false" ht="15" hidden="false" customHeight="false" outlineLevel="0" collapsed="false">
      <c r="A40" s="5" t="s">
        <v>684</v>
      </c>
      <c r="B40" s="5" t="s">
        <v>286</v>
      </c>
      <c r="C40" s="5" t="s">
        <v>186</v>
      </c>
      <c r="D40" s="5" t="s">
        <v>287</v>
      </c>
      <c r="E40" s="5" t="s">
        <v>194</v>
      </c>
      <c r="F40" s="21" t="n">
        <v>5.48</v>
      </c>
      <c r="G40" s="21" t="n">
        <v>3240</v>
      </c>
      <c r="H40" s="21" t="n">
        <v>5400</v>
      </c>
      <c r="I40" s="21" t="n">
        <v>7560</v>
      </c>
      <c r="J40" s="22" t="n">
        <f aca="false">F40*G40</f>
        <v>17755.2</v>
      </c>
      <c r="K40" s="22" t="n">
        <f aca="false">F40*H40</f>
        <v>29592</v>
      </c>
      <c r="L40" s="22" t="n">
        <f aca="false">F40*I40</f>
        <v>41428.8</v>
      </c>
      <c r="M40" s="5" t="s">
        <v>385</v>
      </c>
    </row>
    <row r="41" customFormat="false" ht="15" hidden="false" customHeight="false" outlineLevel="0" collapsed="false">
      <c r="A41" s="5" t="s">
        <v>684</v>
      </c>
      <c r="B41" s="5" t="s">
        <v>289</v>
      </c>
      <c r="C41" s="5" t="s">
        <v>186</v>
      </c>
      <c r="D41" s="5" t="s">
        <v>290</v>
      </c>
      <c r="E41" s="5" t="s">
        <v>194</v>
      </c>
      <c r="F41" s="21" t="n">
        <v>11.2</v>
      </c>
      <c r="G41" s="21" t="n">
        <v>1080</v>
      </c>
      <c r="H41" s="21" t="n">
        <v>1800</v>
      </c>
      <c r="I41" s="21" t="n">
        <v>2520</v>
      </c>
      <c r="J41" s="22" t="n">
        <f aca="false">F41*G41</f>
        <v>12096</v>
      </c>
      <c r="K41" s="22" t="n">
        <f aca="false">F41*H41</f>
        <v>20160</v>
      </c>
      <c r="L41" s="22" t="n">
        <f aca="false">F41*I41</f>
        <v>28224</v>
      </c>
      <c r="M41" s="5" t="s">
        <v>386</v>
      </c>
    </row>
    <row r="42" customFormat="false" ht="15" hidden="false" customHeight="false" outlineLevel="0" collapsed="false">
      <c r="A42" s="5" t="s">
        <v>685</v>
      </c>
      <c r="B42" s="5" t="s">
        <v>301</v>
      </c>
      <c r="C42" s="5" t="s">
        <v>186</v>
      </c>
      <c r="D42" s="5" t="s">
        <v>302</v>
      </c>
      <c r="E42" s="5" t="s">
        <v>194</v>
      </c>
      <c r="F42" s="21" t="n">
        <v>43.26</v>
      </c>
      <c r="G42" s="21" t="n">
        <v>81</v>
      </c>
      <c r="H42" s="21" t="n">
        <v>135</v>
      </c>
      <c r="I42" s="21" t="n">
        <v>189</v>
      </c>
      <c r="J42" s="22" t="n">
        <f aca="false">F42*G42</f>
        <v>3504.06</v>
      </c>
      <c r="K42" s="22" t="n">
        <f aca="false">F42*H42</f>
        <v>5840.1</v>
      </c>
      <c r="L42" s="22" t="n">
        <f aca="false">F42*I42</f>
        <v>8176.14</v>
      </c>
      <c r="M42" s="5" t="s">
        <v>388</v>
      </c>
    </row>
    <row r="43" customFormat="false" ht="15" hidden="false" customHeight="false" outlineLevel="0" collapsed="false">
      <c r="A43" s="5" t="s">
        <v>684</v>
      </c>
      <c r="B43" s="5" t="s">
        <v>292</v>
      </c>
      <c r="C43" s="5" t="s">
        <v>186</v>
      </c>
      <c r="D43" s="5" t="s">
        <v>293</v>
      </c>
      <c r="E43" s="5" t="s">
        <v>277</v>
      </c>
      <c r="F43" s="21" t="n">
        <v>623.29</v>
      </c>
      <c r="G43" s="21" t="n">
        <v>1.8</v>
      </c>
      <c r="H43" s="21" t="n">
        <v>3</v>
      </c>
      <c r="I43" s="21" t="n">
        <v>4.2</v>
      </c>
      <c r="J43" s="22" t="n">
        <f aca="false">F43*G43</f>
        <v>1121.922</v>
      </c>
      <c r="K43" s="22" t="n">
        <f aca="false">F43*H43</f>
        <v>1869.87</v>
      </c>
      <c r="L43" s="22" t="n">
        <f aca="false">F43*I43</f>
        <v>2617.818</v>
      </c>
      <c r="M43" s="5" t="s">
        <v>389</v>
      </c>
    </row>
    <row r="44" customFormat="false" ht="15" hidden="false" customHeight="false" outlineLevel="0" collapsed="false">
      <c r="A44" s="5" t="s">
        <v>685</v>
      </c>
      <c r="B44" s="5" t="s">
        <v>295</v>
      </c>
      <c r="C44" s="5" t="s">
        <v>186</v>
      </c>
      <c r="D44" s="5" t="s">
        <v>296</v>
      </c>
      <c r="E44" s="5" t="s">
        <v>277</v>
      </c>
      <c r="F44" s="21" t="n">
        <v>630.3</v>
      </c>
      <c r="G44" s="21" t="n">
        <v>6.75</v>
      </c>
      <c r="H44" s="21" t="n">
        <v>11.25</v>
      </c>
      <c r="I44" s="21" t="n">
        <v>15.75</v>
      </c>
      <c r="J44" s="22" t="n">
        <f aca="false">F44*G44</f>
        <v>4254.525</v>
      </c>
      <c r="K44" s="22" t="n">
        <f aca="false">F44*H44</f>
        <v>7090.875</v>
      </c>
      <c r="L44" s="22" t="n">
        <f aca="false">F44*I44</f>
        <v>9927.225</v>
      </c>
      <c r="M44" s="5" t="s">
        <v>390</v>
      </c>
    </row>
    <row r="45" customFormat="false" ht="15" hidden="false" customHeight="false" outlineLevel="0" collapsed="false">
      <c r="A45" s="5" t="s">
        <v>685</v>
      </c>
      <c r="B45" s="5" t="s">
        <v>298</v>
      </c>
      <c r="C45" s="5" t="s">
        <v>186</v>
      </c>
      <c r="D45" s="5" t="s">
        <v>299</v>
      </c>
      <c r="E45" s="5" t="s">
        <v>277</v>
      </c>
      <c r="F45" s="21" t="n">
        <v>368.02</v>
      </c>
      <c r="G45" s="21" t="n">
        <v>6.75</v>
      </c>
      <c r="H45" s="21" t="n">
        <v>11.25</v>
      </c>
      <c r="I45" s="21" t="n">
        <v>15.75</v>
      </c>
      <c r="J45" s="22" t="n">
        <f aca="false">F45*G45</f>
        <v>2484.135</v>
      </c>
      <c r="K45" s="22" t="n">
        <f aca="false">F45*H45</f>
        <v>4140.225</v>
      </c>
      <c r="L45" s="22" t="n">
        <f aca="false">F45*I45</f>
        <v>5796.315</v>
      </c>
      <c r="M45" s="5" t="s">
        <v>391</v>
      </c>
    </row>
    <row r="46" customFormat="false" ht="15" hidden="false" customHeight="false" outlineLevel="0" collapsed="false">
      <c r="A46" s="5" t="s">
        <v>685</v>
      </c>
      <c r="B46" s="5" t="s">
        <v>392</v>
      </c>
      <c r="C46" s="5" t="s">
        <v>186</v>
      </c>
      <c r="D46" s="5" t="s">
        <v>393</v>
      </c>
      <c r="E46" s="5" t="s">
        <v>277</v>
      </c>
      <c r="F46" s="21" t="n">
        <v>852.26</v>
      </c>
      <c r="G46" s="21" t="n">
        <v>1.8</v>
      </c>
      <c r="H46" s="21" t="n">
        <v>3</v>
      </c>
      <c r="I46" s="21" t="n">
        <v>4.2</v>
      </c>
      <c r="J46" s="22" t="n">
        <f aca="false">F46*G46</f>
        <v>1534.068</v>
      </c>
      <c r="K46" s="22" t="n">
        <f aca="false">F46*H46</f>
        <v>2556.78</v>
      </c>
      <c r="L46" s="22" t="n">
        <f aca="false">F46*I46</f>
        <v>3579.492</v>
      </c>
      <c r="M46" s="5" t="s">
        <v>394</v>
      </c>
    </row>
    <row r="47" customFormat="false" ht="15" hidden="false" customHeight="false" outlineLevel="0" collapsed="false">
      <c r="A47" s="5" t="s">
        <v>685</v>
      </c>
      <c r="B47" s="5" t="s">
        <v>395</v>
      </c>
      <c r="C47" s="5" t="s">
        <v>186</v>
      </c>
      <c r="D47" s="5" t="s">
        <v>396</v>
      </c>
      <c r="E47" s="5" t="s">
        <v>277</v>
      </c>
      <c r="F47" s="21" t="n">
        <v>333.31</v>
      </c>
      <c r="G47" s="21" t="n">
        <v>1</v>
      </c>
      <c r="H47" s="21" t="n">
        <v>1.5</v>
      </c>
      <c r="I47" s="21" t="n">
        <v>2.1</v>
      </c>
      <c r="J47" s="22" t="n">
        <f aca="false">F47*G47</f>
        <v>333.31</v>
      </c>
      <c r="K47" s="22" t="n">
        <f aca="false">F47*H47</f>
        <v>499.965</v>
      </c>
      <c r="L47" s="22" t="n">
        <f aca="false">F47*I47</f>
        <v>699.951</v>
      </c>
      <c r="M47" s="5" t="s">
        <v>397</v>
      </c>
    </row>
    <row r="48" customFormat="false" ht="15" hidden="false" customHeight="false" outlineLevel="0" collapsed="false">
      <c r="A48" s="5" t="s">
        <v>686</v>
      </c>
      <c r="B48" s="5" t="s">
        <v>305</v>
      </c>
      <c r="C48" s="5" t="s">
        <v>186</v>
      </c>
      <c r="D48" s="5" t="s">
        <v>306</v>
      </c>
      <c r="E48" s="5" t="s">
        <v>277</v>
      </c>
      <c r="F48" s="21" t="n">
        <v>288.1</v>
      </c>
      <c r="G48" s="21" t="n">
        <v>1.8</v>
      </c>
      <c r="H48" s="21" t="n">
        <v>3</v>
      </c>
      <c r="I48" s="21" t="n">
        <v>4.2</v>
      </c>
      <c r="J48" s="22" t="n">
        <f aca="false">F48*G48</f>
        <v>518.58</v>
      </c>
      <c r="K48" s="22" t="n">
        <f aca="false">F48*H48</f>
        <v>864.3</v>
      </c>
      <c r="L48" s="22" t="n">
        <f aca="false">F48*I48</f>
        <v>1210.02</v>
      </c>
      <c r="M48" s="5" t="s">
        <v>399</v>
      </c>
    </row>
    <row r="49" customFormat="false" ht="15" hidden="false" customHeight="false" outlineLevel="0" collapsed="false">
      <c r="A49" s="5" t="s">
        <v>686</v>
      </c>
      <c r="B49" s="5" t="s">
        <v>308</v>
      </c>
      <c r="C49" s="5" t="s">
        <v>186</v>
      </c>
      <c r="D49" s="5" t="s">
        <v>309</v>
      </c>
      <c r="E49" s="5" t="s">
        <v>277</v>
      </c>
      <c r="F49" s="21" t="n">
        <v>17.96</v>
      </c>
      <c r="G49" s="21" t="n">
        <v>5.4</v>
      </c>
      <c r="H49" s="21" t="n">
        <v>9</v>
      </c>
      <c r="I49" s="21" t="n">
        <v>12.6</v>
      </c>
      <c r="J49" s="22" t="n">
        <f aca="false">F49*G49</f>
        <v>96.984</v>
      </c>
      <c r="K49" s="22" t="n">
        <f aca="false">F49*H49</f>
        <v>161.64</v>
      </c>
      <c r="L49" s="22" t="n">
        <f aca="false">F49*I49</f>
        <v>226.296</v>
      </c>
      <c r="M49" s="5" t="s">
        <v>400</v>
      </c>
    </row>
    <row r="50" customFormat="false" ht="15" hidden="false" customHeight="false" outlineLevel="0" collapsed="false">
      <c r="A50" s="5" t="s">
        <v>686</v>
      </c>
      <c r="B50" s="5" t="s">
        <v>311</v>
      </c>
      <c r="C50" s="5" t="s">
        <v>192</v>
      </c>
      <c r="D50" s="5" t="s">
        <v>312</v>
      </c>
      <c r="E50" s="5" t="s">
        <v>277</v>
      </c>
      <c r="F50" s="21" t="n">
        <v>20.47</v>
      </c>
      <c r="G50" s="21" t="n">
        <v>5.4</v>
      </c>
      <c r="H50" s="21" t="n">
        <v>9</v>
      </c>
      <c r="I50" s="21" t="n">
        <v>12.6</v>
      </c>
      <c r="J50" s="22" t="n">
        <f aca="false">F50*G50</f>
        <v>110.538</v>
      </c>
      <c r="K50" s="22" t="n">
        <f aca="false">F50*H50</f>
        <v>184.23</v>
      </c>
      <c r="L50" s="22" t="n">
        <f aca="false">F50*I50</f>
        <v>257.922</v>
      </c>
      <c r="M50" s="5" t="s">
        <v>401</v>
      </c>
    </row>
    <row r="51" customFormat="false" ht="15" hidden="false" customHeight="false" outlineLevel="0" collapsed="false">
      <c r="A51" s="5" t="s">
        <v>687</v>
      </c>
      <c r="B51" s="5" t="s">
        <v>334</v>
      </c>
      <c r="C51" s="5" t="s">
        <v>186</v>
      </c>
      <c r="D51" s="5" t="s">
        <v>335</v>
      </c>
      <c r="E51" s="5" t="s">
        <v>194</v>
      </c>
      <c r="F51" s="21" t="n">
        <v>75.94</v>
      </c>
      <c r="G51" s="21" t="n">
        <v>75</v>
      </c>
      <c r="H51" s="21" t="n">
        <v>125</v>
      </c>
      <c r="I51" s="21" t="n">
        <v>175</v>
      </c>
      <c r="J51" s="22" t="n">
        <f aca="false">F51*G51</f>
        <v>5695.5</v>
      </c>
      <c r="K51" s="22" t="n">
        <f aca="false">F51*H51</f>
        <v>9492.5</v>
      </c>
      <c r="L51" s="22" t="n">
        <f aca="false">F51*I51</f>
        <v>13289.5</v>
      </c>
      <c r="M51" s="5" t="s">
        <v>336</v>
      </c>
    </row>
    <row r="52" customFormat="false" ht="15" hidden="false" customHeight="false" outlineLevel="0" collapsed="false">
      <c r="A52" s="5" t="s">
        <v>688</v>
      </c>
      <c r="B52" s="5" t="s">
        <v>338</v>
      </c>
      <c r="C52" s="5" t="s">
        <v>186</v>
      </c>
      <c r="D52" s="5" t="s">
        <v>339</v>
      </c>
      <c r="E52" s="5" t="s">
        <v>317</v>
      </c>
      <c r="F52" s="21" t="n">
        <v>103.4</v>
      </c>
      <c r="G52" s="21" t="n">
        <v>24</v>
      </c>
      <c r="H52" s="21" t="n">
        <v>40</v>
      </c>
      <c r="I52" s="21" t="n">
        <v>56</v>
      </c>
      <c r="J52" s="22" t="n">
        <f aca="false">F52*G52</f>
        <v>2481.6</v>
      </c>
      <c r="K52" s="22" t="n">
        <f aca="false">F52*H52</f>
        <v>4136</v>
      </c>
      <c r="L52" s="22" t="n">
        <f aca="false">F52*I52</f>
        <v>5790.4</v>
      </c>
      <c r="M52" s="5" t="s">
        <v>340</v>
      </c>
    </row>
    <row r="53" customFormat="false" ht="15" hidden="false" customHeight="false" outlineLevel="0" collapsed="false">
      <c r="A53" s="5" t="s">
        <v>688</v>
      </c>
      <c r="B53" s="5" t="s">
        <v>341</v>
      </c>
      <c r="C53" s="5" t="s">
        <v>186</v>
      </c>
      <c r="D53" s="5" t="s">
        <v>342</v>
      </c>
      <c r="E53" s="5" t="s">
        <v>317</v>
      </c>
      <c r="F53" s="21" t="n">
        <v>828.32</v>
      </c>
      <c r="G53" s="21" t="n">
        <v>36</v>
      </c>
      <c r="H53" s="21" t="n">
        <v>60</v>
      </c>
      <c r="I53" s="21" t="n">
        <v>84</v>
      </c>
      <c r="J53" s="22" t="n">
        <f aca="false">F53*G53</f>
        <v>29819.52</v>
      </c>
      <c r="K53" s="22" t="n">
        <f aca="false">F53*H53</f>
        <v>49699.2</v>
      </c>
      <c r="L53" s="22" t="n">
        <f aca="false">F53*I53</f>
        <v>69578.88</v>
      </c>
      <c r="M53" s="5" t="s">
        <v>343</v>
      </c>
    </row>
    <row r="54" customFormat="false" ht="15" hidden="false" customHeight="false" outlineLevel="0" collapsed="false">
      <c r="A54" s="5" t="s">
        <v>688</v>
      </c>
      <c r="B54" s="5" t="s">
        <v>344</v>
      </c>
      <c r="C54" s="5" t="s">
        <v>186</v>
      </c>
      <c r="D54" s="5" t="s">
        <v>345</v>
      </c>
      <c r="E54" s="5" t="s">
        <v>346</v>
      </c>
      <c r="F54" s="21" t="n">
        <v>10.41</v>
      </c>
      <c r="G54" s="21" t="n">
        <v>3000</v>
      </c>
      <c r="H54" s="21" t="n">
        <v>5000</v>
      </c>
      <c r="I54" s="21" t="n">
        <v>7000</v>
      </c>
      <c r="J54" s="22" t="n">
        <f aca="false">F54*G54</f>
        <v>31230</v>
      </c>
      <c r="K54" s="22" t="n">
        <f aca="false">F54*H54</f>
        <v>52050</v>
      </c>
      <c r="L54" s="22" t="n">
        <f aca="false">F54*I54</f>
        <v>72870</v>
      </c>
      <c r="M54" s="5" t="s">
        <v>347</v>
      </c>
    </row>
    <row r="55" customFormat="false" ht="15" hidden="false" customHeight="false" outlineLevel="0" collapsed="false">
      <c r="A55" s="5" t="s">
        <v>688</v>
      </c>
      <c r="B55" s="5" t="s">
        <v>348</v>
      </c>
      <c r="C55" s="5" t="s">
        <v>186</v>
      </c>
      <c r="D55" s="5" t="s">
        <v>349</v>
      </c>
      <c r="E55" s="5" t="s">
        <v>188</v>
      </c>
      <c r="F55" s="21" t="n">
        <v>122.64</v>
      </c>
      <c r="G55" s="21" t="n">
        <v>330</v>
      </c>
      <c r="H55" s="21" t="n">
        <v>550</v>
      </c>
      <c r="I55" s="21" t="n">
        <v>770</v>
      </c>
      <c r="J55" s="22" t="n">
        <f aca="false">F55*G55</f>
        <v>40471.2</v>
      </c>
      <c r="K55" s="22" t="n">
        <f aca="false">F55*H55</f>
        <v>67452</v>
      </c>
      <c r="L55" s="22" t="n">
        <f aca="false">F55*I55</f>
        <v>94432.8</v>
      </c>
      <c r="M55" s="5" t="s">
        <v>350</v>
      </c>
    </row>
    <row r="56" customFormat="false" ht="15" hidden="false" customHeight="false" outlineLevel="0" collapsed="false">
      <c r="A56" s="5" t="s">
        <v>689</v>
      </c>
      <c r="B56" s="5" t="s">
        <v>352</v>
      </c>
      <c r="C56" s="5" t="s">
        <v>186</v>
      </c>
      <c r="D56" s="5" t="s">
        <v>353</v>
      </c>
      <c r="E56" s="5" t="s">
        <v>188</v>
      </c>
      <c r="F56" s="21" t="n">
        <v>119.54</v>
      </c>
      <c r="G56" s="21" t="n">
        <v>450</v>
      </c>
      <c r="H56" s="21" t="n">
        <v>750</v>
      </c>
      <c r="I56" s="21" t="n">
        <v>1050</v>
      </c>
      <c r="J56" s="22" t="n">
        <f aca="false">F56*G56</f>
        <v>53793</v>
      </c>
      <c r="K56" s="22" t="n">
        <f aca="false">F56*H56</f>
        <v>89655</v>
      </c>
      <c r="L56" s="22" t="n">
        <f aca="false">F56*I56</f>
        <v>125517</v>
      </c>
      <c r="M56" s="5" t="s">
        <v>354</v>
      </c>
    </row>
    <row r="57" customFormat="false" ht="15" hidden="false" customHeight="false" outlineLevel="0" collapsed="false">
      <c r="A57" s="5" t="s">
        <v>689</v>
      </c>
      <c r="B57" s="5" t="s">
        <v>249</v>
      </c>
      <c r="C57" s="5" t="s">
        <v>186</v>
      </c>
      <c r="D57" s="5" t="s">
        <v>250</v>
      </c>
      <c r="E57" s="5" t="s">
        <v>188</v>
      </c>
      <c r="F57" s="21" t="n">
        <v>6.03</v>
      </c>
      <c r="G57" s="21" t="n">
        <v>900</v>
      </c>
      <c r="H57" s="21" t="n">
        <v>1500</v>
      </c>
      <c r="I57" s="21" t="n">
        <v>2100</v>
      </c>
      <c r="J57" s="22" t="n">
        <f aca="false">F57*G57</f>
        <v>5427</v>
      </c>
      <c r="K57" s="22" t="n">
        <f aca="false">F57*H57</f>
        <v>9045</v>
      </c>
      <c r="L57" s="22" t="n">
        <f aca="false">F57*I57</f>
        <v>12663</v>
      </c>
      <c r="M57" s="5" t="s">
        <v>355</v>
      </c>
    </row>
    <row r="58" customFormat="false" ht="15" hidden="false" customHeight="false" outlineLevel="0" collapsed="false">
      <c r="A58" s="5" t="s">
        <v>689</v>
      </c>
      <c r="B58" s="5" t="s">
        <v>252</v>
      </c>
      <c r="C58" s="5" t="s">
        <v>186</v>
      </c>
      <c r="D58" s="5" t="s">
        <v>253</v>
      </c>
      <c r="E58" s="5" t="s">
        <v>188</v>
      </c>
      <c r="F58" s="21" t="n">
        <v>31.79</v>
      </c>
      <c r="G58" s="21" t="n">
        <v>720</v>
      </c>
      <c r="H58" s="21" t="n">
        <v>1200</v>
      </c>
      <c r="I58" s="21" t="n">
        <v>1680</v>
      </c>
      <c r="J58" s="22" t="n">
        <f aca="false">F58*G58</f>
        <v>22888.8</v>
      </c>
      <c r="K58" s="22" t="n">
        <f aca="false">F58*H58</f>
        <v>38148</v>
      </c>
      <c r="L58" s="22" t="n">
        <f aca="false">F58*I58</f>
        <v>53407.2</v>
      </c>
      <c r="M58" s="5" t="s">
        <v>356</v>
      </c>
    </row>
    <row r="59" customFormat="false" ht="15" hidden="false" customHeight="false" outlineLevel="0" collapsed="false">
      <c r="A59" s="5" t="s">
        <v>689</v>
      </c>
      <c r="B59" s="5" t="s">
        <v>357</v>
      </c>
      <c r="C59" s="5" t="s">
        <v>186</v>
      </c>
      <c r="D59" s="5" t="s">
        <v>358</v>
      </c>
      <c r="E59" s="5" t="s">
        <v>188</v>
      </c>
      <c r="F59" s="21" t="n">
        <v>83.28</v>
      </c>
      <c r="G59" s="21" t="n">
        <v>180</v>
      </c>
      <c r="H59" s="21" t="n">
        <v>300</v>
      </c>
      <c r="I59" s="21" t="n">
        <v>420</v>
      </c>
      <c r="J59" s="22" t="n">
        <f aca="false">F59*G59</f>
        <v>14990.4</v>
      </c>
      <c r="K59" s="22" t="n">
        <f aca="false">F59*H59</f>
        <v>24984</v>
      </c>
      <c r="L59" s="22" t="n">
        <f aca="false">F59*I59</f>
        <v>34977.6</v>
      </c>
      <c r="M59" s="5" t="s">
        <v>359</v>
      </c>
    </row>
    <row r="60" customFormat="false" ht="15" hidden="false" customHeight="false" outlineLevel="0" collapsed="false">
      <c r="A60" s="5" t="s">
        <v>689</v>
      </c>
      <c r="B60" s="5" t="s">
        <v>255</v>
      </c>
      <c r="C60" s="5" t="s">
        <v>186</v>
      </c>
      <c r="D60" s="5" t="s">
        <v>256</v>
      </c>
      <c r="E60" s="5" t="s">
        <v>188</v>
      </c>
      <c r="F60" s="21" t="n">
        <v>59.3</v>
      </c>
      <c r="G60" s="21" t="n">
        <v>90</v>
      </c>
      <c r="H60" s="21" t="n">
        <v>150</v>
      </c>
      <c r="I60" s="21" t="n">
        <v>210</v>
      </c>
      <c r="J60" s="22" t="n">
        <f aca="false">F60*G60</f>
        <v>5337</v>
      </c>
      <c r="K60" s="22" t="n">
        <f aca="false">F60*H60</f>
        <v>8895</v>
      </c>
      <c r="L60" s="22" t="n">
        <f aca="false">F60*I60</f>
        <v>12453</v>
      </c>
      <c r="M60" s="5" t="s">
        <v>360</v>
      </c>
    </row>
    <row r="61" customFormat="false" ht="15" hidden="false" customHeight="false" outlineLevel="0" collapsed="false">
      <c r="A61" s="5" t="s">
        <v>690</v>
      </c>
      <c r="B61" s="5" t="s">
        <v>362</v>
      </c>
      <c r="C61" s="5" t="s">
        <v>186</v>
      </c>
      <c r="D61" s="5" t="s">
        <v>363</v>
      </c>
      <c r="E61" s="5" t="s">
        <v>188</v>
      </c>
      <c r="F61" s="21" t="n">
        <v>48.41</v>
      </c>
      <c r="G61" s="21" t="n">
        <v>300</v>
      </c>
      <c r="H61" s="21" t="n">
        <v>500</v>
      </c>
      <c r="I61" s="21" t="n">
        <v>700</v>
      </c>
      <c r="J61" s="22" t="n">
        <f aca="false">F61*G61</f>
        <v>14523</v>
      </c>
      <c r="K61" s="22" t="n">
        <f aca="false">F61*H61</f>
        <v>24205</v>
      </c>
      <c r="L61" s="22" t="n">
        <f aca="false">F61*I61</f>
        <v>33887</v>
      </c>
      <c r="M61" s="5" t="s">
        <v>364</v>
      </c>
    </row>
    <row r="62" customFormat="false" ht="15" hidden="false" customHeight="false" outlineLevel="0" collapsed="false">
      <c r="A62" s="5" t="s">
        <v>690</v>
      </c>
      <c r="B62" s="5" t="s">
        <v>258</v>
      </c>
      <c r="C62" s="5" t="s">
        <v>186</v>
      </c>
      <c r="D62" s="5" t="s">
        <v>259</v>
      </c>
      <c r="E62" s="5" t="s">
        <v>188</v>
      </c>
      <c r="F62" s="21" t="n">
        <v>58.19</v>
      </c>
      <c r="G62" s="21" t="n">
        <v>300</v>
      </c>
      <c r="H62" s="21" t="n">
        <v>500</v>
      </c>
      <c r="I62" s="21" t="n">
        <v>700</v>
      </c>
      <c r="J62" s="22" t="n">
        <f aca="false">F62*G62</f>
        <v>17457</v>
      </c>
      <c r="K62" s="22" t="n">
        <f aca="false">F62*H62</f>
        <v>29095</v>
      </c>
      <c r="L62" s="22" t="n">
        <f aca="false">F62*I62</f>
        <v>40733</v>
      </c>
      <c r="M62" s="5" t="s">
        <v>365</v>
      </c>
    </row>
    <row r="63" customFormat="false" ht="15" hidden="false" customHeight="false" outlineLevel="0" collapsed="false">
      <c r="A63" s="5" t="s">
        <v>690</v>
      </c>
      <c r="B63" s="5" t="s">
        <v>261</v>
      </c>
      <c r="C63" s="5" t="s">
        <v>186</v>
      </c>
      <c r="D63" s="5" t="s">
        <v>262</v>
      </c>
      <c r="E63" s="5" t="s">
        <v>188</v>
      </c>
      <c r="F63" s="21" t="n">
        <v>50.14</v>
      </c>
      <c r="G63" s="21" t="n">
        <v>300</v>
      </c>
      <c r="H63" s="21" t="n">
        <v>500</v>
      </c>
      <c r="I63" s="21" t="n">
        <v>700</v>
      </c>
      <c r="J63" s="22" t="n">
        <f aca="false">F63*G63</f>
        <v>15042</v>
      </c>
      <c r="K63" s="22" t="n">
        <f aca="false">F63*H63</f>
        <v>25070</v>
      </c>
      <c r="L63" s="22" t="n">
        <f aca="false">F63*I63</f>
        <v>35098</v>
      </c>
      <c r="M63" s="5" t="s">
        <v>366</v>
      </c>
    </row>
    <row r="64" customFormat="false" ht="15" hidden="false" customHeight="false" outlineLevel="0" collapsed="false">
      <c r="A64" s="5" t="s">
        <v>690</v>
      </c>
      <c r="B64" s="5" t="s">
        <v>367</v>
      </c>
      <c r="C64" s="5" t="s">
        <v>186</v>
      </c>
      <c r="D64" s="5" t="s">
        <v>368</v>
      </c>
      <c r="E64" s="5" t="s">
        <v>188</v>
      </c>
      <c r="F64" s="21" t="n">
        <v>91.17</v>
      </c>
      <c r="G64" s="21" t="n">
        <v>45</v>
      </c>
      <c r="H64" s="21" t="n">
        <v>75</v>
      </c>
      <c r="I64" s="21" t="n">
        <v>105</v>
      </c>
      <c r="J64" s="22" t="n">
        <f aca="false">F64*G64</f>
        <v>4102.65</v>
      </c>
      <c r="K64" s="22" t="n">
        <f aca="false">F64*H64</f>
        <v>6837.75</v>
      </c>
      <c r="L64" s="22" t="n">
        <f aca="false">F64*I64</f>
        <v>9572.85</v>
      </c>
      <c r="M64" s="5" t="s">
        <v>369</v>
      </c>
    </row>
    <row r="65" customFormat="false" ht="15" hidden="false" customHeight="false" outlineLevel="0" collapsed="false">
      <c r="A65" s="5" t="s">
        <v>691</v>
      </c>
      <c r="B65" s="5" t="s">
        <v>239</v>
      </c>
      <c r="C65" s="5" t="s">
        <v>186</v>
      </c>
      <c r="D65" s="5" t="s">
        <v>240</v>
      </c>
      <c r="E65" s="5" t="s">
        <v>188</v>
      </c>
      <c r="F65" s="21" t="n">
        <v>101.54</v>
      </c>
      <c r="G65" s="21" t="n">
        <v>375</v>
      </c>
      <c r="H65" s="21" t="n">
        <v>625</v>
      </c>
      <c r="I65" s="21" t="n">
        <v>875</v>
      </c>
      <c r="J65" s="22" t="n">
        <f aca="false">F65*G65</f>
        <v>38077.5</v>
      </c>
      <c r="K65" s="22" t="n">
        <f aca="false">F65*H65</f>
        <v>63462.5</v>
      </c>
      <c r="L65" s="22" t="n">
        <f aca="false">F65*I65</f>
        <v>88847.5</v>
      </c>
      <c r="M65" s="5" t="s">
        <v>371</v>
      </c>
    </row>
    <row r="66" customFormat="false" ht="15" hidden="false" customHeight="false" outlineLevel="0" collapsed="false">
      <c r="A66" s="5" t="s">
        <v>691</v>
      </c>
      <c r="B66" s="5" t="s">
        <v>242</v>
      </c>
      <c r="C66" s="5" t="s">
        <v>186</v>
      </c>
      <c r="D66" s="5" t="s">
        <v>243</v>
      </c>
      <c r="E66" s="5" t="s">
        <v>188</v>
      </c>
      <c r="F66" s="21" t="n">
        <v>42.42</v>
      </c>
      <c r="G66" s="21" t="n">
        <v>375</v>
      </c>
      <c r="H66" s="21" t="n">
        <v>625</v>
      </c>
      <c r="I66" s="21" t="n">
        <v>875</v>
      </c>
      <c r="J66" s="22" t="n">
        <f aca="false">F66*G66</f>
        <v>15907.5</v>
      </c>
      <c r="K66" s="22" t="n">
        <f aca="false">F66*H66</f>
        <v>26512.5</v>
      </c>
      <c r="L66" s="22" t="n">
        <f aca="false">F66*I66</f>
        <v>37117.5</v>
      </c>
      <c r="M66" s="5" t="s">
        <v>372</v>
      </c>
    </row>
    <row r="67" customFormat="false" ht="15" hidden="false" customHeight="false" outlineLevel="0" collapsed="false">
      <c r="A67" s="5" t="s">
        <v>691</v>
      </c>
      <c r="B67" s="5" t="s">
        <v>245</v>
      </c>
      <c r="C67" s="5" t="s">
        <v>186</v>
      </c>
      <c r="D67" s="5" t="s">
        <v>246</v>
      </c>
      <c r="E67" s="5" t="s">
        <v>188</v>
      </c>
      <c r="F67" s="21" t="n">
        <v>73.2</v>
      </c>
      <c r="G67" s="21" t="n">
        <v>270</v>
      </c>
      <c r="H67" s="21" t="n">
        <v>450</v>
      </c>
      <c r="I67" s="21" t="n">
        <v>630</v>
      </c>
      <c r="J67" s="22" t="n">
        <f aca="false">F67*G67</f>
        <v>19764</v>
      </c>
      <c r="K67" s="22" t="n">
        <f aca="false">F67*H67</f>
        <v>32940</v>
      </c>
      <c r="L67" s="22" t="n">
        <f aca="false">F67*I67</f>
        <v>46116</v>
      </c>
      <c r="M67" s="5" t="s">
        <v>373</v>
      </c>
    </row>
    <row r="68" customFormat="false" ht="15" hidden="false" customHeight="false" outlineLevel="0" collapsed="false">
      <c r="A68" s="5" t="s">
        <v>692</v>
      </c>
      <c r="B68" s="5" t="s">
        <v>275</v>
      </c>
      <c r="C68" s="5" t="s">
        <v>186</v>
      </c>
      <c r="D68" s="5" t="s">
        <v>276</v>
      </c>
      <c r="E68" s="5" t="s">
        <v>277</v>
      </c>
      <c r="F68" s="21" t="n">
        <v>1179.17</v>
      </c>
      <c r="G68" s="21" t="n">
        <v>20</v>
      </c>
      <c r="H68" s="21" t="n">
        <v>33.33</v>
      </c>
      <c r="I68" s="21" t="n">
        <v>46.67</v>
      </c>
      <c r="J68" s="22" t="n">
        <f aca="false">F68*G68</f>
        <v>23583.4</v>
      </c>
      <c r="K68" s="22" t="n">
        <f aca="false">F68*H68</f>
        <v>39301.7361</v>
      </c>
      <c r="L68" s="22" t="n">
        <f aca="false">F68*I68</f>
        <v>55031.8639</v>
      </c>
      <c r="M68" s="5" t="s">
        <v>375</v>
      </c>
    </row>
    <row r="69" customFormat="false" ht="15" hidden="false" customHeight="false" outlineLevel="0" collapsed="false">
      <c r="A69" s="5" t="s">
        <v>692</v>
      </c>
      <c r="B69" s="5" t="s">
        <v>272</v>
      </c>
      <c r="C69" s="5" t="s">
        <v>186</v>
      </c>
      <c r="D69" s="5" t="s">
        <v>273</v>
      </c>
      <c r="E69" s="5" t="s">
        <v>188</v>
      </c>
      <c r="F69" s="21" t="n">
        <v>223.25</v>
      </c>
      <c r="G69" s="21" t="n">
        <v>45</v>
      </c>
      <c r="H69" s="21" t="n">
        <v>75</v>
      </c>
      <c r="I69" s="21" t="n">
        <v>105</v>
      </c>
      <c r="J69" s="22" t="n">
        <f aca="false">F69*G69</f>
        <v>10046.25</v>
      </c>
      <c r="K69" s="22" t="n">
        <f aca="false">F69*H69</f>
        <v>16743.75</v>
      </c>
      <c r="L69" s="22" t="n">
        <f aca="false">F69*I69</f>
        <v>23441.25</v>
      </c>
      <c r="M69" s="5" t="s">
        <v>376</v>
      </c>
    </row>
    <row r="70" customFormat="false" ht="15" hidden="false" customHeight="false" outlineLevel="0" collapsed="false">
      <c r="A70" s="5" t="s">
        <v>693</v>
      </c>
      <c r="B70" s="5" t="s">
        <v>265</v>
      </c>
      <c r="C70" s="5" t="s">
        <v>186</v>
      </c>
      <c r="D70" s="5" t="s">
        <v>266</v>
      </c>
      <c r="E70" s="5" t="s">
        <v>188</v>
      </c>
      <c r="F70" s="21" t="n">
        <v>12.33</v>
      </c>
      <c r="G70" s="21" t="n">
        <v>720</v>
      </c>
      <c r="H70" s="21" t="n">
        <v>1200</v>
      </c>
      <c r="I70" s="21" t="n">
        <v>1680</v>
      </c>
      <c r="J70" s="22" t="n">
        <f aca="false">F70*G70</f>
        <v>8877.6</v>
      </c>
      <c r="K70" s="22" t="n">
        <f aca="false">F70*H70</f>
        <v>14796</v>
      </c>
      <c r="L70" s="22" t="n">
        <f aca="false">F70*I70</f>
        <v>20714.4</v>
      </c>
      <c r="M70" s="5" t="s">
        <v>378</v>
      </c>
    </row>
    <row r="71" customFormat="false" ht="15" hidden="false" customHeight="false" outlineLevel="0" collapsed="false">
      <c r="A71" s="5" t="s">
        <v>693</v>
      </c>
      <c r="B71" s="5" t="s">
        <v>379</v>
      </c>
      <c r="C71" s="5" t="s">
        <v>186</v>
      </c>
      <c r="D71" s="5" t="s">
        <v>380</v>
      </c>
      <c r="E71" s="5" t="s">
        <v>188</v>
      </c>
      <c r="F71" s="21" t="n">
        <v>23.22</v>
      </c>
      <c r="G71" s="21" t="n">
        <v>180</v>
      </c>
      <c r="H71" s="21" t="n">
        <v>300</v>
      </c>
      <c r="I71" s="21" t="n">
        <v>420</v>
      </c>
      <c r="J71" s="22" t="n">
        <f aca="false">F71*G71</f>
        <v>4179.6</v>
      </c>
      <c r="K71" s="22" t="n">
        <f aca="false">F71*H71</f>
        <v>6966</v>
      </c>
      <c r="L71" s="22" t="n">
        <f aca="false">F71*I71</f>
        <v>9752.4</v>
      </c>
      <c r="M71" s="5" t="s">
        <v>381</v>
      </c>
    </row>
    <row r="72" customFormat="false" ht="15" hidden="false" customHeight="false" outlineLevel="0" collapsed="false">
      <c r="A72" s="5" t="s">
        <v>694</v>
      </c>
      <c r="B72" s="5" t="s">
        <v>280</v>
      </c>
      <c r="C72" s="5" t="s">
        <v>186</v>
      </c>
      <c r="D72" s="5" t="s">
        <v>281</v>
      </c>
      <c r="E72" s="5" t="s">
        <v>277</v>
      </c>
      <c r="F72" s="21" t="n">
        <v>53.69</v>
      </c>
      <c r="G72" s="21" t="n">
        <v>50</v>
      </c>
      <c r="H72" s="21" t="n">
        <v>83.33</v>
      </c>
      <c r="I72" s="21" t="n">
        <v>116.67</v>
      </c>
      <c r="J72" s="22" t="n">
        <f aca="false">F72*G72</f>
        <v>2684.5</v>
      </c>
      <c r="K72" s="22" t="n">
        <f aca="false">F72*H72</f>
        <v>4473.9877</v>
      </c>
      <c r="L72" s="22" t="n">
        <f aca="false">F72*I72</f>
        <v>6264.0123</v>
      </c>
      <c r="M72" s="5" t="s">
        <v>383</v>
      </c>
    </row>
    <row r="73" customFormat="false" ht="15" hidden="false" customHeight="false" outlineLevel="0" collapsed="false">
      <c r="A73" s="5" t="s">
        <v>694</v>
      </c>
      <c r="B73" s="5" t="s">
        <v>283</v>
      </c>
      <c r="C73" s="5" t="s">
        <v>186</v>
      </c>
      <c r="D73" s="5" t="s">
        <v>284</v>
      </c>
      <c r="E73" s="5" t="s">
        <v>277</v>
      </c>
      <c r="F73" s="21" t="n">
        <v>30.86</v>
      </c>
      <c r="G73" s="21" t="n">
        <v>37.5</v>
      </c>
      <c r="H73" s="21" t="n">
        <v>62.5</v>
      </c>
      <c r="I73" s="21" t="n">
        <v>87.5</v>
      </c>
      <c r="J73" s="22" t="n">
        <f aca="false">F73*G73</f>
        <v>1157.25</v>
      </c>
      <c r="K73" s="22" t="n">
        <f aca="false">F73*H73</f>
        <v>1928.75</v>
      </c>
      <c r="L73" s="22" t="n">
        <f aca="false">F73*I73</f>
        <v>2700.25</v>
      </c>
      <c r="M73" s="5" t="s">
        <v>384</v>
      </c>
    </row>
    <row r="74" customFormat="false" ht="15" hidden="false" customHeight="false" outlineLevel="0" collapsed="false">
      <c r="A74" s="5" t="s">
        <v>694</v>
      </c>
      <c r="B74" s="5" t="s">
        <v>286</v>
      </c>
      <c r="C74" s="5" t="s">
        <v>186</v>
      </c>
      <c r="D74" s="5" t="s">
        <v>287</v>
      </c>
      <c r="E74" s="5" t="s">
        <v>194</v>
      </c>
      <c r="F74" s="21" t="n">
        <v>5.48</v>
      </c>
      <c r="G74" s="21" t="n">
        <v>3600</v>
      </c>
      <c r="H74" s="21" t="n">
        <v>6000</v>
      </c>
      <c r="I74" s="21" t="n">
        <v>8400</v>
      </c>
      <c r="J74" s="22" t="n">
        <f aca="false">F74*G74</f>
        <v>19728</v>
      </c>
      <c r="K74" s="22" t="n">
        <f aca="false">F74*H74</f>
        <v>32880</v>
      </c>
      <c r="L74" s="22" t="n">
        <f aca="false">F74*I74</f>
        <v>46032</v>
      </c>
      <c r="M74" s="5" t="s">
        <v>385</v>
      </c>
    </row>
    <row r="75" customFormat="false" ht="15" hidden="false" customHeight="false" outlineLevel="0" collapsed="false">
      <c r="A75" s="5" t="s">
        <v>694</v>
      </c>
      <c r="B75" s="5" t="s">
        <v>289</v>
      </c>
      <c r="C75" s="5" t="s">
        <v>186</v>
      </c>
      <c r="D75" s="5" t="s">
        <v>290</v>
      </c>
      <c r="E75" s="5" t="s">
        <v>194</v>
      </c>
      <c r="F75" s="21" t="n">
        <v>11.2</v>
      </c>
      <c r="G75" s="21" t="n">
        <v>1200</v>
      </c>
      <c r="H75" s="21" t="n">
        <v>2000</v>
      </c>
      <c r="I75" s="21" t="n">
        <v>2800</v>
      </c>
      <c r="J75" s="22" t="n">
        <f aca="false">F75*G75</f>
        <v>13440</v>
      </c>
      <c r="K75" s="22" t="n">
        <f aca="false">F75*H75</f>
        <v>22400</v>
      </c>
      <c r="L75" s="22" t="n">
        <f aca="false">F75*I75</f>
        <v>31360</v>
      </c>
      <c r="M75" s="5" t="s">
        <v>386</v>
      </c>
    </row>
    <row r="76" customFormat="false" ht="15" hidden="false" customHeight="false" outlineLevel="0" collapsed="false">
      <c r="A76" s="5" t="s">
        <v>695</v>
      </c>
      <c r="B76" s="5" t="s">
        <v>301</v>
      </c>
      <c r="C76" s="5" t="s">
        <v>186</v>
      </c>
      <c r="D76" s="5" t="s">
        <v>302</v>
      </c>
      <c r="E76" s="5" t="s">
        <v>194</v>
      </c>
      <c r="F76" s="21" t="n">
        <v>43.26</v>
      </c>
      <c r="G76" s="21" t="n">
        <v>90</v>
      </c>
      <c r="H76" s="21" t="n">
        <v>150</v>
      </c>
      <c r="I76" s="21" t="n">
        <v>210</v>
      </c>
      <c r="J76" s="22" t="n">
        <f aca="false">F76*G76</f>
        <v>3893.4</v>
      </c>
      <c r="K76" s="22" t="n">
        <f aca="false">F76*H76</f>
        <v>6489</v>
      </c>
      <c r="L76" s="22" t="n">
        <f aca="false">F76*I76</f>
        <v>9084.6</v>
      </c>
      <c r="M76" s="5" t="s">
        <v>388</v>
      </c>
    </row>
    <row r="77" customFormat="false" ht="15" hidden="false" customHeight="false" outlineLevel="0" collapsed="false">
      <c r="A77" s="5" t="s">
        <v>694</v>
      </c>
      <c r="B77" s="5" t="s">
        <v>292</v>
      </c>
      <c r="C77" s="5" t="s">
        <v>186</v>
      </c>
      <c r="D77" s="5" t="s">
        <v>293</v>
      </c>
      <c r="E77" s="5" t="s">
        <v>277</v>
      </c>
      <c r="F77" s="21" t="n">
        <v>623.29</v>
      </c>
      <c r="G77" s="21" t="n">
        <v>2</v>
      </c>
      <c r="H77" s="21" t="n">
        <v>3.33</v>
      </c>
      <c r="I77" s="21" t="n">
        <v>4.67</v>
      </c>
      <c r="J77" s="22" t="n">
        <f aca="false">F77*G77</f>
        <v>1246.58</v>
      </c>
      <c r="K77" s="22" t="n">
        <f aca="false">F77*H77</f>
        <v>2075.5557</v>
      </c>
      <c r="L77" s="22" t="n">
        <f aca="false">F77*I77</f>
        <v>2910.7643</v>
      </c>
      <c r="M77" s="5" t="s">
        <v>389</v>
      </c>
    </row>
    <row r="78" customFormat="false" ht="15" hidden="false" customHeight="false" outlineLevel="0" collapsed="false">
      <c r="A78" s="5" t="s">
        <v>695</v>
      </c>
      <c r="B78" s="5" t="s">
        <v>295</v>
      </c>
      <c r="C78" s="5" t="s">
        <v>186</v>
      </c>
      <c r="D78" s="5" t="s">
        <v>296</v>
      </c>
      <c r="E78" s="5" t="s">
        <v>277</v>
      </c>
      <c r="F78" s="21" t="n">
        <v>630.3</v>
      </c>
      <c r="G78" s="21" t="n">
        <v>7.5</v>
      </c>
      <c r="H78" s="21" t="n">
        <v>12.5</v>
      </c>
      <c r="I78" s="21" t="n">
        <v>17.5</v>
      </c>
      <c r="J78" s="22" t="n">
        <f aca="false">F78*G78</f>
        <v>4727.25</v>
      </c>
      <c r="K78" s="22" t="n">
        <f aca="false">F78*H78</f>
        <v>7878.75</v>
      </c>
      <c r="L78" s="22" t="n">
        <f aca="false">F78*I78</f>
        <v>11030.25</v>
      </c>
      <c r="M78" s="5" t="s">
        <v>390</v>
      </c>
    </row>
    <row r="79" customFormat="false" ht="15" hidden="false" customHeight="false" outlineLevel="0" collapsed="false">
      <c r="A79" s="5" t="s">
        <v>695</v>
      </c>
      <c r="B79" s="5" t="s">
        <v>298</v>
      </c>
      <c r="C79" s="5" t="s">
        <v>186</v>
      </c>
      <c r="D79" s="5" t="s">
        <v>299</v>
      </c>
      <c r="E79" s="5" t="s">
        <v>277</v>
      </c>
      <c r="F79" s="21" t="n">
        <v>368.02</v>
      </c>
      <c r="G79" s="21" t="n">
        <v>7.5</v>
      </c>
      <c r="H79" s="21" t="n">
        <v>12.5</v>
      </c>
      <c r="I79" s="21" t="n">
        <v>17.5</v>
      </c>
      <c r="J79" s="22" t="n">
        <f aca="false">F79*G79</f>
        <v>2760.15</v>
      </c>
      <c r="K79" s="22" t="n">
        <f aca="false">F79*H79</f>
        <v>4600.25</v>
      </c>
      <c r="L79" s="22" t="n">
        <f aca="false">F79*I79</f>
        <v>6440.35</v>
      </c>
      <c r="M79" s="5" t="s">
        <v>391</v>
      </c>
    </row>
    <row r="80" customFormat="false" ht="15" hidden="false" customHeight="false" outlineLevel="0" collapsed="false">
      <c r="A80" s="5" t="s">
        <v>695</v>
      </c>
      <c r="B80" s="5" t="s">
        <v>392</v>
      </c>
      <c r="C80" s="5" t="s">
        <v>186</v>
      </c>
      <c r="D80" s="5" t="s">
        <v>393</v>
      </c>
      <c r="E80" s="5" t="s">
        <v>277</v>
      </c>
      <c r="F80" s="21" t="n">
        <v>852.26</v>
      </c>
      <c r="G80" s="21" t="n">
        <v>2</v>
      </c>
      <c r="H80" s="21" t="n">
        <v>3.33</v>
      </c>
      <c r="I80" s="21" t="n">
        <v>4.67</v>
      </c>
      <c r="J80" s="22" t="n">
        <f aca="false">F80*G80</f>
        <v>1704.52</v>
      </c>
      <c r="K80" s="22" t="n">
        <f aca="false">F80*H80</f>
        <v>2838.0258</v>
      </c>
      <c r="L80" s="22" t="n">
        <f aca="false">F80*I80</f>
        <v>3980.0542</v>
      </c>
      <c r="M80" s="5" t="s">
        <v>394</v>
      </c>
    </row>
    <row r="81" customFormat="false" ht="15" hidden="false" customHeight="false" outlineLevel="0" collapsed="false">
      <c r="A81" s="5" t="s">
        <v>695</v>
      </c>
      <c r="B81" s="5" t="s">
        <v>395</v>
      </c>
      <c r="C81" s="5" t="s">
        <v>186</v>
      </c>
      <c r="D81" s="5" t="s">
        <v>396</v>
      </c>
      <c r="E81" s="5" t="s">
        <v>277</v>
      </c>
      <c r="F81" s="21" t="n">
        <v>333.31</v>
      </c>
      <c r="G81" s="21" t="n">
        <v>1</v>
      </c>
      <c r="H81" s="21" t="n">
        <v>1.67</v>
      </c>
      <c r="I81" s="21" t="n">
        <v>2.33</v>
      </c>
      <c r="J81" s="22" t="n">
        <f aca="false">F81*G81</f>
        <v>333.31</v>
      </c>
      <c r="K81" s="22" t="n">
        <f aca="false">F81*H81</f>
        <v>556.6277</v>
      </c>
      <c r="L81" s="22" t="n">
        <f aca="false">F81*I81</f>
        <v>776.6123</v>
      </c>
      <c r="M81" s="5" t="s">
        <v>397</v>
      </c>
    </row>
    <row r="82" customFormat="false" ht="15" hidden="false" customHeight="false" outlineLevel="0" collapsed="false">
      <c r="A82" s="5" t="s">
        <v>696</v>
      </c>
      <c r="B82" s="5" t="s">
        <v>305</v>
      </c>
      <c r="C82" s="5" t="s">
        <v>186</v>
      </c>
      <c r="D82" s="5" t="s">
        <v>306</v>
      </c>
      <c r="E82" s="5" t="s">
        <v>277</v>
      </c>
      <c r="F82" s="21" t="n">
        <v>288.1</v>
      </c>
      <c r="G82" s="21" t="n">
        <v>2</v>
      </c>
      <c r="H82" s="21" t="n">
        <v>3.33</v>
      </c>
      <c r="I82" s="21" t="n">
        <v>4.67</v>
      </c>
      <c r="J82" s="22" t="n">
        <f aca="false">F82*G82</f>
        <v>576.2</v>
      </c>
      <c r="K82" s="22" t="n">
        <f aca="false">F82*H82</f>
        <v>959.373</v>
      </c>
      <c r="L82" s="22" t="n">
        <f aca="false">F82*I82</f>
        <v>1345.427</v>
      </c>
      <c r="M82" s="5" t="s">
        <v>399</v>
      </c>
    </row>
    <row r="83" customFormat="false" ht="15" hidden="false" customHeight="false" outlineLevel="0" collapsed="false">
      <c r="A83" s="5" t="s">
        <v>696</v>
      </c>
      <c r="B83" s="5" t="s">
        <v>308</v>
      </c>
      <c r="C83" s="5" t="s">
        <v>186</v>
      </c>
      <c r="D83" s="5" t="s">
        <v>309</v>
      </c>
      <c r="E83" s="5" t="s">
        <v>277</v>
      </c>
      <c r="F83" s="21" t="n">
        <v>17.96</v>
      </c>
      <c r="G83" s="21" t="n">
        <v>6</v>
      </c>
      <c r="H83" s="21" t="n">
        <v>10</v>
      </c>
      <c r="I83" s="21" t="n">
        <v>14</v>
      </c>
      <c r="J83" s="22" t="n">
        <f aca="false">F83*G83</f>
        <v>107.76</v>
      </c>
      <c r="K83" s="22" t="n">
        <f aca="false">F83*H83</f>
        <v>179.6</v>
      </c>
      <c r="L83" s="22" t="n">
        <f aca="false">F83*I83</f>
        <v>251.44</v>
      </c>
      <c r="M83" s="5" t="s">
        <v>400</v>
      </c>
    </row>
    <row r="84" customFormat="false" ht="15" hidden="false" customHeight="false" outlineLevel="0" collapsed="false">
      <c r="A84" s="5" t="s">
        <v>696</v>
      </c>
      <c r="B84" s="5" t="s">
        <v>311</v>
      </c>
      <c r="C84" s="5" t="s">
        <v>192</v>
      </c>
      <c r="D84" s="5" t="s">
        <v>312</v>
      </c>
      <c r="E84" s="5" t="s">
        <v>277</v>
      </c>
      <c r="F84" s="21" t="n">
        <v>20.47</v>
      </c>
      <c r="G84" s="21" t="n">
        <v>6</v>
      </c>
      <c r="H84" s="21" t="n">
        <v>10</v>
      </c>
      <c r="I84" s="21" t="n">
        <v>14</v>
      </c>
      <c r="J84" s="22" t="n">
        <f aca="false">F84*G84</f>
        <v>122.82</v>
      </c>
      <c r="K84" s="22" t="n">
        <f aca="false">F84*H84</f>
        <v>204.7</v>
      </c>
      <c r="L84" s="22" t="n">
        <f aca="false">F84*I84</f>
        <v>286.58</v>
      </c>
      <c r="M84" s="5" t="s">
        <v>401</v>
      </c>
    </row>
    <row r="85" customFormat="false" ht="15" hidden="false" customHeight="false" outlineLevel="0" collapsed="false">
      <c r="A85" s="5" t="s">
        <v>697</v>
      </c>
      <c r="B85" s="5" t="s">
        <v>216</v>
      </c>
      <c r="C85" s="5" t="s">
        <v>186</v>
      </c>
      <c r="D85" s="5" t="s">
        <v>217</v>
      </c>
      <c r="E85" s="5" t="s">
        <v>188</v>
      </c>
      <c r="F85" s="21" t="n">
        <v>454.97</v>
      </c>
      <c r="G85" s="21" t="n">
        <v>1.8</v>
      </c>
      <c r="H85" s="21" t="n">
        <v>3</v>
      </c>
      <c r="I85" s="21" t="n">
        <v>4.2</v>
      </c>
      <c r="J85" s="22" t="n">
        <f aca="false">F85*G85</f>
        <v>818.946</v>
      </c>
      <c r="K85" s="22" t="n">
        <f aca="false">F85*H85</f>
        <v>1364.91</v>
      </c>
      <c r="L85" s="22" t="n">
        <f aca="false">F85*I85</f>
        <v>1910.874</v>
      </c>
      <c r="M85" s="5" t="s">
        <v>218</v>
      </c>
    </row>
    <row r="86" customFormat="false" ht="15" hidden="false" customHeight="false" outlineLevel="0" collapsed="false">
      <c r="A86" s="5" t="s">
        <v>697</v>
      </c>
      <c r="B86" s="5" t="s">
        <v>502</v>
      </c>
      <c r="C86" s="5" t="s">
        <v>186</v>
      </c>
      <c r="D86" s="5" t="s">
        <v>503</v>
      </c>
      <c r="E86" s="5" t="s">
        <v>188</v>
      </c>
      <c r="F86" s="21" t="n">
        <v>0.76</v>
      </c>
      <c r="G86" s="21" t="n">
        <v>270</v>
      </c>
      <c r="H86" s="21" t="n">
        <v>450</v>
      </c>
      <c r="I86" s="21" t="n">
        <v>630</v>
      </c>
      <c r="J86" s="22" t="n">
        <f aca="false">F86*G86</f>
        <v>205.2</v>
      </c>
      <c r="K86" s="22" t="n">
        <f aca="false">F86*H86</f>
        <v>342</v>
      </c>
      <c r="L86" s="22" t="n">
        <f aca="false">F86*I86</f>
        <v>478.8</v>
      </c>
      <c r="M86" s="5" t="s">
        <v>504</v>
      </c>
    </row>
    <row r="87" customFormat="false" ht="15" hidden="false" customHeight="false" outlineLevel="0" collapsed="false">
      <c r="A87" s="5" t="s">
        <v>698</v>
      </c>
      <c r="B87" s="5" t="s">
        <v>338</v>
      </c>
      <c r="C87" s="5" t="s">
        <v>186</v>
      </c>
      <c r="D87" s="5" t="s">
        <v>339</v>
      </c>
      <c r="E87" s="5" t="s">
        <v>317</v>
      </c>
      <c r="F87" s="21" t="n">
        <v>103.4</v>
      </c>
      <c r="G87" s="21" t="n">
        <v>9</v>
      </c>
      <c r="H87" s="21" t="n">
        <v>15</v>
      </c>
      <c r="I87" s="21" t="n">
        <v>21</v>
      </c>
      <c r="J87" s="22" t="n">
        <f aca="false">F87*G87</f>
        <v>930.6</v>
      </c>
      <c r="K87" s="22" t="n">
        <f aca="false">F87*H87</f>
        <v>1551</v>
      </c>
      <c r="L87" s="22" t="n">
        <f aca="false">F87*I87</f>
        <v>2171.4</v>
      </c>
      <c r="M87" s="5" t="s">
        <v>506</v>
      </c>
    </row>
    <row r="88" customFormat="false" ht="15" hidden="false" customHeight="false" outlineLevel="0" collapsed="false">
      <c r="A88" s="5" t="s">
        <v>698</v>
      </c>
      <c r="B88" s="5" t="s">
        <v>341</v>
      </c>
      <c r="C88" s="5" t="s">
        <v>186</v>
      </c>
      <c r="D88" s="5" t="s">
        <v>342</v>
      </c>
      <c r="E88" s="5" t="s">
        <v>317</v>
      </c>
      <c r="F88" s="21" t="n">
        <v>828.32</v>
      </c>
      <c r="G88" s="21" t="n">
        <v>4.5</v>
      </c>
      <c r="H88" s="21" t="n">
        <v>7.5</v>
      </c>
      <c r="I88" s="21" t="n">
        <v>10.5</v>
      </c>
      <c r="J88" s="22" t="n">
        <f aca="false">F88*G88</f>
        <v>3727.44</v>
      </c>
      <c r="K88" s="22" t="n">
        <f aca="false">F88*H88</f>
        <v>6212.4</v>
      </c>
      <c r="L88" s="22" t="n">
        <f aca="false">F88*I88</f>
        <v>8697.36</v>
      </c>
      <c r="M88" s="5" t="s">
        <v>507</v>
      </c>
    </row>
    <row r="89" customFormat="false" ht="15" hidden="false" customHeight="false" outlineLevel="0" collapsed="false">
      <c r="A89" s="5" t="s">
        <v>698</v>
      </c>
      <c r="B89" s="5" t="s">
        <v>344</v>
      </c>
      <c r="C89" s="5" t="s">
        <v>186</v>
      </c>
      <c r="D89" s="5" t="s">
        <v>345</v>
      </c>
      <c r="E89" s="5" t="s">
        <v>346</v>
      </c>
      <c r="F89" s="21" t="n">
        <v>10.41</v>
      </c>
      <c r="G89" s="21" t="n">
        <v>450</v>
      </c>
      <c r="H89" s="21" t="n">
        <v>750</v>
      </c>
      <c r="I89" s="21" t="n">
        <v>1050</v>
      </c>
      <c r="J89" s="22" t="n">
        <f aca="false">F89*G89</f>
        <v>4684.5</v>
      </c>
      <c r="K89" s="22" t="n">
        <f aca="false">F89*H89</f>
        <v>7807.5</v>
      </c>
      <c r="L89" s="22" t="n">
        <f aca="false">F89*I89</f>
        <v>10930.5</v>
      </c>
      <c r="M89" s="5" t="s">
        <v>508</v>
      </c>
    </row>
    <row r="90" customFormat="false" ht="15" hidden="false" customHeight="false" outlineLevel="0" collapsed="false">
      <c r="A90" s="5" t="s">
        <v>698</v>
      </c>
      <c r="B90" s="5" t="s">
        <v>348</v>
      </c>
      <c r="C90" s="5" t="s">
        <v>186</v>
      </c>
      <c r="D90" s="5" t="s">
        <v>349</v>
      </c>
      <c r="E90" s="5" t="s">
        <v>188</v>
      </c>
      <c r="F90" s="21" t="n">
        <v>122.64</v>
      </c>
      <c r="G90" s="21" t="n">
        <v>36</v>
      </c>
      <c r="H90" s="21" t="n">
        <v>60</v>
      </c>
      <c r="I90" s="21" t="n">
        <v>84</v>
      </c>
      <c r="J90" s="22" t="n">
        <f aca="false">F90*G90</f>
        <v>4415.04</v>
      </c>
      <c r="K90" s="22" t="n">
        <f aca="false">F90*H90</f>
        <v>7358.4</v>
      </c>
      <c r="L90" s="22" t="n">
        <f aca="false">F90*I90</f>
        <v>10301.76</v>
      </c>
      <c r="M90" s="5" t="s">
        <v>509</v>
      </c>
    </row>
    <row r="91" customFormat="false" ht="15" hidden="false" customHeight="false" outlineLevel="0" collapsed="false">
      <c r="A91" s="5" t="s">
        <v>699</v>
      </c>
      <c r="B91" s="5" t="s">
        <v>511</v>
      </c>
      <c r="C91" s="5" t="s">
        <v>186</v>
      </c>
      <c r="D91" s="5" t="s">
        <v>512</v>
      </c>
      <c r="E91" s="5" t="s">
        <v>188</v>
      </c>
      <c r="F91" s="21" t="n">
        <v>3.35</v>
      </c>
      <c r="G91" s="21" t="n">
        <v>192</v>
      </c>
      <c r="H91" s="21" t="n">
        <v>320</v>
      </c>
      <c r="I91" s="21" t="n">
        <v>448</v>
      </c>
      <c r="J91" s="22" t="n">
        <f aca="false">F91*G91</f>
        <v>643.2</v>
      </c>
      <c r="K91" s="22" t="n">
        <f aca="false">F91*H91</f>
        <v>1072</v>
      </c>
      <c r="L91" s="22" t="n">
        <f aca="false">F91*I91</f>
        <v>1500.8</v>
      </c>
      <c r="M91" s="5" t="s">
        <v>513</v>
      </c>
    </row>
    <row r="92" customFormat="false" ht="15" hidden="false" customHeight="false" outlineLevel="0" collapsed="false">
      <c r="A92" s="5" t="s">
        <v>699</v>
      </c>
      <c r="B92" s="5" t="s">
        <v>514</v>
      </c>
      <c r="C92" s="5" t="s">
        <v>186</v>
      </c>
      <c r="D92" s="5" t="s">
        <v>515</v>
      </c>
      <c r="E92" s="5" t="s">
        <v>317</v>
      </c>
      <c r="F92" s="21" t="n">
        <v>216.4</v>
      </c>
      <c r="G92" s="21" t="n">
        <v>19.2</v>
      </c>
      <c r="H92" s="21" t="n">
        <v>32</v>
      </c>
      <c r="I92" s="21" t="n">
        <v>44.8</v>
      </c>
      <c r="J92" s="22" t="n">
        <f aca="false">F92*G92</f>
        <v>4154.88</v>
      </c>
      <c r="K92" s="22" t="n">
        <f aca="false">F92*H92</f>
        <v>6924.8</v>
      </c>
      <c r="L92" s="22" t="n">
        <f aca="false">F92*I92</f>
        <v>9694.72</v>
      </c>
      <c r="M92" s="5" t="s">
        <v>516</v>
      </c>
    </row>
    <row r="93" customFormat="false" ht="15" hidden="false" customHeight="false" outlineLevel="0" collapsed="false">
      <c r="A93" s="5" t="s">
        <v>699</v>
      </c>
      <c r="B93" s="5" t="s">
        <v>517</v>
      </c>
      <c r="C93" s="5" t="s">
        <v>186</v>
      </c>
      <c r="D93" s="5" t="s">
        <v>518</v>
      </c>
      <c r="E93" s="5" t="s">
        <v>188</v>
      </c>
      <c r="F93" s="21" t="n">
        <v>103.21</v>
      </c>
      <c r="G93" s="21" t="n">
        <v>192</v>
      </c>
      <c r="H93" s="21" t="n">
        <v>320</v>
      </c>
      <c r="I93" s="21" t="n">
        <v>448</v>
      </c>
      <c r="J93" s="22" t="n">
        <f aca="false">F93*G93</f>
        <v>19816.32</v>
      </c>
      <c r="K93" s="22" t="n">
        <f aca="false">F93*H93</f>
        <v>33027.2</v>
      </c>
      <c r="L93" s="22" t="n">
        <f aca="false">F93*I93</f>
        <v>46238.08</v>
      </c>
      <c r="M93" s="5" t="s">
        <v>519</v>
      </c>
    </row>
    <row r="94" customFormat="false" ht="15" hidden="false" customHeight="false" outlineLevel="0" collapsed="false">
      <c r="A94" s="5" t="s">
        <v>699</v>
      </c>
      <c r="B94" s="5" t="s">
        <v>520</v>
      </c>
      <c r="C94" s="5" t="s">
        <v>186</v>
      </c>
      <c r="D94" s="5" t="s">
        <v>521</v>
      </c>
      <c r="E94" s="5" t="s">
        <v>194</v>
      </c>
      <c r="F94" s="21" t="n">
        <v>12.45</v>
      </c>
      <c r="G94" s="21" t="n">
        <v>75</v>
      </c>
      <c r="H94" s="21" t="n">
        <v>125</v>
      </c>
      <c r="I94" s="21" t="n">
        <v>175</v>
      </c>
      <c r="J94" s="22" t="n">
        <f aca="false">F94*G94</f>
        <v>933.75</v>
      </c>
      <c r="K94" s="22" t="n">
        <f aca="false">F94*H94</f>
        <v>1556.25</v>
      </c>
      <c r="L94" s="22" t="n">
        <f aca="false">F94*I94</f>
        <v>2178.75</v>
      </c>
      <c r="M94" s="5" t="s">
        <v>522</v>
      </c>
    </row>
    <row r="95" customFormat="false" ht="15" hidden="false" customHeight="false" outlineLevel="0" collapsed="false">
      <c r="A95" s="5" t="s">
        <v>700</v>
      </c>
      <c r="B95" s="5" t="s">
        <v>524</v>
      </c>
      <c r="C95" s="5" t="s">
        <v>186</v>
      </c>
      <c r="D95" s="5" t="s">
        <v>525</v>
      </c>
      <c r="E95" s="5" t="s">
        <v>346</v>
      </c>
      <c r="F95" s="21" t="n">
        <v>13.77</v>
      </c>
      <c r="G95" s="21" t="n">
        <v>5610</v>
      </c>
      <c r="H95" s="21" t="n">
        <v>9350</v>
      </c>
      <c r="I95" s="21" t="n">
        <v>13090</v>
      </c>
      <c r="J95" s="22" t="n">
        <f aca="false">F95*G95</f>
        <v>77249.7</v>
      </c>
      <c r="K95" s="22" t="n">
        <f aca="false">F95*H95</f>
        <v>128749.5</v>
      </c>
      <c r="L95" s="22" t="n">
        <f aca="false">F95*I95</f>
        <v>180249.3</v>
      </c>
      <c r="M95" s="5" t="s">
        <v>540</v>
      </c>
    </row>
    <row r="96" customFormat="false" ht="15" hidden="false" customHeight="false" outlineLevel="0" collapsed="false">
      <c r="A96" s="5" t="s">
        <v>700</v>
      </c>
      <c r="B96" s="5" t="s">
        <v>527</v>
      </c>
      <c r="C96" s="5" t="s">
        <v>186</v>
      </c>
      <c r="D96" s="5" t="s">
        <v>528</v>
      </c>
      <c r="E96" s="5" t="s">
        <v>188</v>
      </c>
      <c r="F96" s="21" t="n">
        <v>192.73</v>
      </c>
      <c r="G96" s="21" t="n">
        <v>224.4</v>
      </c>
      <c r="H96" s="21" t="n">
        <v>374</v>
      </c>
      <c r="I96" s="21" t="n">
        <v>523.6</v>
      </c>
      <c r="J96" s="22" t="n">
        <f aca="false">F96*G96</f>
        <v>43248.612</v>
      </c>
      <c r="K96" s="22" t="n">
        <f aca="false">F96*H96</f>
        <v>72081.02</v>
      </c>
      <c r="L96" s="22" t="n">
        <f aca="false">F96*I96</f>
        <v>100913.428</v>
      </c>
      <c r="M96" s="5" t="s">
        <v>529</v>
      </c>
    </row>
    <row r="97" customFormat="false" ht="15" hidden="false" customHeight="false" outlineLevel="0" collapsed="false">
      <c r="A97" s="5" t="s">
        <v>701</v>
      </c>
      <c r="B97" s="5" t="s">
        <v>531</v>
      </c>
      <c r="C97" s="5" t="s">
        <v>186</v>
      </c>
      <c r="D97" s="5" t="s">
        <v>532</v>
      </c>
      <c r="E97" s="5" t="s">
        <v>188</v>
      </c>
      <c r="F97" s="21" t="n">
        <v>182.11</v>
      </c>
      <c r="G97" s="21" t="n">
        <v>62.4</v>
      </c>
      <c r="H97" s="21" t="n">
        <v>104</v>
      </c>
      <c r="I97" s="21" t="n">
        <v>145.6</v>
      </c>
      <c r="J97" s="22" t="n">
        <f aca="false">F97*G97</f>
        <v>11363.664</v>
      </c>
      <c r="K97" s="22" t="n">
        <f aca="false">F97*H97</f>
        <v>18939.44</v>
      </c>
      <c r="L97" s="22" t="n">
        <f aca="false">F97*I97</f>
        <v>26515.216</v>
      </c>
      <c r="M97" s="5" t="s">
        <v>533</v>
      </c>
    </row>
    <row r="98" customFormat="false" ht="15" hidden="false" customHeight="false" outlineLevel="0" collapsed="false">
      <c r="A98" s="5" t="s">
        <v>701</v>
      </c>
      <c r="B98" s="5" t="s">
        <v>534</v>
      </c>
      <c r="C98" s="5" t="s">
        <v>192</v>
      </c>
      <c r="D98" s="5" t="s">
        <v>535</v>
      </c>
      <c r="E98" s="5" t="s">
        <v>277</v>
      </c>
      <c r="F98" s="21" t="n">
        <v>2846.43</v>
      </c>
      <c r="G98" s="21" t="n">
        <v>0.3</v>
      </c>
      <c r="H98" s="21" t="n">
        <v>0.5</v>
      </c>
      <c r="I98" s="21" t="n">
        <v>0.7</v>
      </c>
      <c r="J98" s="22" t="n">
        <f aca="false">F98*G98</f>
        <v>853.929</v>
      </c>
      <c r="K98" s="22" t="n">
        <f aca="false">F98*H98</f>
        <v>1423.215</v>
      </c>
      <c r="L98" s="22" t="n">
        <f aca="false">F98*I98</f>
        <v>1992.501</v>
      </c>
      <c r="M98" s="5" t="s">
        <v>536</v>
      </c>
    </row>
    <row r="99" customFormat="false" ht="15" hidden="false" customHeight="false" outlineLevel="0" collapsed="false">
      <c r="A99" s="5" t="s">
        <v>701</v>
      </c>
      <c r="B99" s="5" t="s">
        <v>537</v>
      </c>
      <c r="C99" s="5" t="s">
        <v>192</v>
      </c>
      <c r="D99" s="5" t="s">
        <v>538</v>
      </c>
      <c r="E99" s="5" t="s">
        <v>277</v>
      </c>
      <c r="F99" s="21" t="n">
        <v>23.46</v>
      </c>
      <c r="G99" s="21" t="n">
        <v>4.8</v>
      </c>
      <c r="H99" s="21" t="n">
        <v>8</v>
      </c>
      <c r="I99" s="21" t="n">
        <v>11.2</v>
      </c>
      <c r="J99" s="22" t="n">
        <f aca="false">F99*G99</f>
        <v>112.608</v>
      </c>
      <c r="K99" s="22" t="n">
        <f aca="false">F99*H99</f>
        <v>187.68</v>
      </c>
      <c r="L99" s="22" t="n">
        <f aca="false">F99*I99</f>
        <v>262.752</v>
      </c>
      <c r="M99" s="5" t="s">
        <v>539</v>
      </c>
    </row>
    <row r="100" customFormat="false" ht="15" hidden="false" customHeight="false" outlineLevel="0" collapsed="false">
      <c r="A100" s="5" t="s">
        <v>702</v>
      </c>
      <c r="B100" s="5" t="s">
        <v>334</v>
      </c>
      <c r="C100" s="5" t="s">
        <v>186</v>
      </c>
      <c r="D100" s="5" t="s">
        <v>335</v>
      </c>
      <c r="E100" s="5" t="s">
        <v>194</v>
      </c>
      <c r="F100" s="21" t="n">
        <v>75.94</v>
      </c>
      <c r="G100" s="21" t="n">
        <v>3</v>
      </c>
      <c r="H100" s="21" t="n">
        <v>5</v>
      </c>
      <c r="I100" s="21" t="n">
        <v>7</v>
      </c>
      <c r="J100" s="22" t="n">
        <f aca="false">F100*G100</f>
        <v>227.82</v>
      </c>
      <c r="K100" s="22" t="n">
        <f aca="false">F100*H100</f>
        <v>379.7</v>
      </c>
      <c r="L100" s="22" t="n">
        <f aca="false">F100*I100</f>
        <v>531.58</v>
      </c>
      <c r="M100" s="5" t="s">
        <v>336</v>
      </c>
    </row>
    <row r="101" customFormat="false" ht="15" hidden="false" customHeight="false" outlineLevel="0" collapsed="false">
      <c r="A101" s="5" t="s">
        <v>703</v>
      </c>
      <c r="B101" s="5" t="s">
        <v>338</v>
      </c>
      <c r="C101" s="5" t="s">
        <v>186</v>
      </c>
      <c r="D101" s="5" t="s">
        <v>339</v>
      </c>
      <c r="E101" s="5" t="s">
        <v>317</v>
      </c>
      <c r="F101" s="21" t="n">
        <v>103.4</v>
      </c>
      <c r="G101" s="21" t="n">
        <v>0.96</v>
      </c>
      <c r="H101" s="21" t="n">
        <v>1.6</v>
      </c>
      <c r="I101" s="21" t="n">
        <v>2.24</v>
      </c>
      <c r="J101" s="22" t="n">
        <f aca="false">F101*G101</f>
        <v>99.264</v>
      </c>
      <c r="K101" s="22" t="n">
        <f aca="false">F101*H101</f>
        <v>165.44</v>
      </c>
      <c r="L101" s="22" t="n">
        <f aca="false">F101*I101</f>
        <v>231.616</v>
      </c>
      <c r="M101" s="5" t="s">
        <v>340</v>
      </c>
    </row>
    <row r="102" customFormat="false" ht="15" hidden="false" customHeight="false" outlineLevel="0" collapsed="false">
      <c r="A102" s="5" t="s">
        <v>703</v>
      </c>
      <c r="B102" s="5" t="s">
        <v>341</v>
      </c>
      <c r="C102" s="5" t="s">
        <v>186</v>
      </c>
      <c r="D102" s="5" t="s">
        <v>342</v>
      </c>
      <c r="E102" s="5" t="s">
        <v>317</v>
      </c>
      <c r="F102" s="21" t="n">
        <v>828.32</v>
      </c>
      <c r="G102" s="21" t="n">
        <v>1.44</v>
      </c>
      <c r="H102" s="21" t="n">
        <v>2.4</v>
      </c>
      <c r="I102" s="21" t="n">
        <v>3.36</v>
      </c>
      <c r="J102" s="22" t="n">
        <f aca="false">F102*G102</f>
        <v>1192.7808</v>
      </c>
      <c r="K102" s="22" t="n">
        <f aca="false">F102*H102</f>
        <v>1987.968</v>
      </c>
      <c r="L102" s="22" t="n">
        <f aca="false">F102*I102</f>
        <v>2783.1552</v>
      </c>
      <c r="M102" s="5" t="s">
        <v>343</v>
      </c>
    </row>
    <row r="103" customFormat="false" ht="15" hidden="false" customHeight="false" outlineLevel="0" collapsed="false">
      <c r="A103" s="5" t="s">
        <v>703</v>
      </c>
      <c r="B103" s="5" t="s">
        <v>344</v>
      </c>
      <c r="C103" s="5" t="s">
        <v>186</v>
      </c>
      <c r="D103" s="5" t="s">
        <v>345</v>
      </c>
      <c r="E103" s="5" t="s">
        <v>346</v>
      </c>
      <c r="F103" s="21" t="n">
        <v>10.41</v>
      </c>
      <c r="G103" s="21" t="n">
        <v>120</v>
      </c>
      <c r="H103" s="21" t="n">
        <v>200</v>
      </c>
      <c r="I103" s="21" t="n">
        <v>280</v>
      </c>
      <c r="J103" s="22" t="n">
        <f aca="false">F103*G103</f>
        <v>1249.2</v>
      </c>
      <c r="K103" s="22" t="n">
        <f aca="false">F103*H103</f>
        <v>2082</v>
      </c>
      <c r="L103" s="22" t="n">
        <f aca="false">F103*I103</f>
        <v>2914.8</v>
      </c>
      <c r="M103" s="5" t="s">
        <v>347</v>
      </c>
    </row>
    <row r="104" customFormat="false" ht="15" hidden="false" customHeight="false" outlineLevel="0" collapsed="false">
      <c r="A104" s="5" t="s">
        <v>703</v>
      </c>
      <c r="B104" s="5" t="s">
        <v>348</v>
      </c>
      <c r="C104" s="5" t="s">
        <v>186</v>
      </c>
      <c r="D104" s="5" t="s">
        <v>349</v>
      </c>
      <c r="E104" s="5" t="s">
        <v>188</v>
      </c>
      <c r="F104" s="21" t="n">
        <v>122.64</v>
      </c>
      <c r="G104" s="21" t="n">
        <v>13.2</v>
      </c>
      <c r="H104" s="21" t="n">
        <v>22</v>
      </c>
      <c r="I104" s="21" t="n">
        <v>30.8</v>
      </c>
      <c r="J104" s="22" t="n">
        <f aca="false">F104*G104</f>
        <v>1618.848</v>
      </c>
      <c r="K104" s="22" t="n">
        <f aca="false">F104*H104</f>
        <v>2698.08</v>
      </c>
      <c r="L104" s="22" t="n">
        <f aca="false">F104*I104</f>
        <v>3777.312</v>
      </c>
      <c r="M104" s="5" t="s">
        <v>350</v>
      </c>
    </row>
    <row r="105" customFormat="false" ht="15" hidden="false" customHeight="false" outlineLevel="0" collapsed="false">
      <c r="A105" s="5" t="s">
        <v>704</v>
      </c>
      <c r="B105" s="5" t="s">
        <v>352</v>
      </c>
      <c r="C105" s="5" t="s">
        <v>186</v>
      </c>
      <c r="D105" s="5" t="s">
        <v>353</v>
      </c>
      <c r="E105" s="5" t="s">
        <v>188</v>
      </c>
      <c r="F105" s="21" t="n">
        <v>119.54</v>
      </c>
      <c r="G105" s="21" t="n">
        <v>18</v>
      </c>
      <c r="H105" s="21" t="n">
        <v>30</v>
      </c>
      <c r="I105" s="21" t="n">
        <v>42</v>
      </c>
      <c r="J105" s="22" t="n">
        <f aca="false">F105*G105</f>
        <v>2151.72</v>
      </c>
      <c r="K105" s="22" t="n">
        <f aca="false">F105*H105</f>
        <v>3586.2</v>
      </c>
      <c r="L105" s="22" t="n">
        <f aca="false">F105*I105</f>
        <v>5020.68</v>
      </c>
      <c r="M105" s="5" t="s">
        <v>354</v>
      </c>
    </row>
    <row r="106" customFormat="false" ht="15" hidden="false" customHeight="false" outlineLevel="0" collapsed="false">
      <c r="A106" s="5" t="s">
        <v>704</v>
      </c>
      <c r="B106" s="5" t="s">
        <v>249</v>
      </c>
      <c r="C106" s="5" t="s">
        <v>186</v>
      </c>
      <c r="D106" s="5" t="s">
        <v>250</v>
      </c>
      <c r="E106" s="5" t="s">
        <v>188</v>
      </c>
      <c r="F106" s="21" t="n">
        <v>6.03</v>
      </c>
      <c r="G106" s="21" t="n">
        <v>36</v>
      </c>
      <c r="H106" s="21" t="n">
        <v>60</v>
      </c>
      <c r="I106" s="21" t="n">
        <v>84</v>
      </c>
      <c r="J106" s="22" t="n">
        <f aca="false">F106*G106</f>
        <v>217.08</v>
      </c>
      <c r="K106" s="22" t="n">
        <f aca="false">F106*H106</f>
        <v>361.8</v>
      </c>
      <c r="L106" s="22" t="n">
        <f aca="false">F106*I106</f>
        <v>506.52</v>
      </c>
      <c r="M106" s="5" t="s">
        <v>355</v>
      </c>
    </row>
    <row r="107" customFormat="false" ht="15" hidden="false" customHeight="false" outlineLevel="0" collapsed="false">
      <c r="A107" s="5" t="s">
        <v>704</v>
      </c>
      <c r="B107" s="5" t="s">
        <v>252</v>
      </c>
      <c r="C107" s="5" t="s">
        <v>186</v>
      </c>
      <c r="D107" s="5" t="s">
        <v>253</v>
      </c>
      <c r="E107" s="5" t="s">
        <v>188</v>
      </c>
      <c r="F107" s="21" t="n">
        <v>31.79</v>
      </c>
      <c r="G107" s="21" t="n">
        <v>28.8</v>
      </c>
      <c r="H107" s="21" t="n">
        <v>48</v>
      </c>
      <c r="I107" s="21" t="n">
        <v>67.2</v>
      </c>
      <c r="J107" s="22" t="n">
        <f aca="false">F107*G107</f>
        <v>915.552</v>
      </c>
      <c r="K107" s="22" t="n">
        <f aca="false">F107*H107</f>
        <v>1525.92</v>
      </c>
      <c r="L107" s="22" t="n">
        <f aca="false">F107*I107</f>
        <v>2136.288</v>
      </c>
      <c r="M107" s="5" t="s">
        <v>356</v>
      </c>
    </row>
    <row r="108" customFormat="false" ht="15" hidden="false" customHeight="false" outlineLevel="0" collapsed="false">
      <c r="A108" s="5" t="s">
        <v>704</v>
      </c>
      <c r="B108" s="5" t="s">
        <v>357</v>
      </c>
      <c r="C108" s="5" t="s">
        <v>186</v>
      </c>
      <c r="D108" s="5" t="s">
        <v>358</v>
      </c>
      <c r="E108" s="5" t="s">
        <v>188</v>
      </c>
      <c r="F108" s="21" t="n">
        <v>83.28</v>
      </c>
      <c r="G108" s="21" t="n">
        <v>7.2</v>
      </c>
      <c r="H108" s="21" t="n">
        <v>12</v>
      </c>
      <c r="I108" s="21" t="n">
        <v>16.8</v>
      </c>
      <c r="J108" s="22" t="n">
        <f aca="false">F108*G108</f>
        <v>599.616</v>
      </c>
      <c r="K108" s="22" t="n">
        <f aca="false">F108*H108</f>
        <v>999.36</v>
      </c>
      <c r="L108" s="22" t="n">
        <f aca="false">F108*I108</f>
        <v>1399.104</v>
      </c>
      <c r="M108" s="5" t="s">
        <v>359</v>
      </c>
    </row>
    <row r="109" customFormat="false" ht="15" hidden="false" customHeight="false" outlineLevel="0" collapsed="false">
      <c r="A109" s="5" t="s">
        <v>704</v>
      </c>
      <c r="B109" s="5" t="s">
        <v>255</v>
      </c>
      <c r="C109" s="5" t="s">
        <v>186</v>
      </c>
      <c r="D109" s="5" t="s">
        <v>256</v>
      </c>
      <c r="E109" s="5" t="s">
        <v>188</v>
      </c>
      <c r="F109" s="21" t="n">
        <v>59.3</v>
      </c>
      <c r="G109" s="21" t="n">
        <v>3.6</v>
      </c>
      <c r="H109" s="21" t="n">
        <v>6</v>
      </c>
      <c r="I109" s="21" t="n">
        <v>8.4</v>
      </c>
      <c r="J109" s="22" t="n">
        <f aca="false">F109*G109</f>
        <v>213.48</v>
      </c>
      <c r="K109" s="22" t="n">
        <f aca="false">F109*H109</f>
        <v>355.8</v>
      </c>
      <c r="L109" s="22" t="n">
        <f aca="false">F109*I109</f>
        <v>498.12</v>
      </c>
      <c r="M109" s="5" t="s">
        <v>360</v>
      </c>
    </row>
    <row r="110" customFormat="false" ht="15" hidden="false" customHeight="false" outlineLevel="0" collapsed="false">
      <c r="A110" s="5" t="s">
        <v>705</v>
      </c>
      <c r="B110" s="5" t="s">
        <v>362</v>
      </c>
      <c r="C110" s="5" t="s">
        <v>186</v>
      </c>
      <c r="D110" s="5" t="s">
        <v>363</v>
      </c>
      <c r="E110" s="5" t="s">
        <v>188</v>
      </c>
      <c r="F110" s="21" t="n">
        <v>48.41</v>
      </c>
      <c r="G110" s="21" t="n">
        <v>12</v>
      </c>
      <c r="H110" s="21" t="n">
        <v>20</v>
      </c>
      <c r="I110" s="21" t="n">
        <v>28</v>
      </c>
      <c r="J110" s="22" t="n">
        <f aca="false">F110*G110</f>
        <v>580.92</v>
      </c>
      <c r="K110" s="22" t="n">
        <f aca="false">F110*H110</f>
        <v>968.2</v>
      </c>
      <c r="L110" s="22" t="n">
        <f aca="false">F110*I110</f>
        <v>1355.48</v>
      </c>
      <c r="M110" s="5" t="s">
        <v>364</v>
      </c>
    </row>
    <row r="111" customFormat="false" ht="15" hidden="false" customHeight="false" outlineLevel="0" collapsed="false">
      <c r="A111" s="5" t="s">
        <v>705</v>
      </c>
      <c r="B111" s="5" t="s">
        <v>258</v>
      </c>
      <c r="C111" s="5" t="s">
        <v>186</v>
      </c>
      <c r="D111" s="5" t="s">
        <v>259</v>
      </c>
      <c r="E111" s="5" t="s">
        <v>188</v>
      </c>
      <c r="F111" s="21" t="n">
        <v>58.19</v>
      </c>
      <c r="G111" s="21" t="n">
        <v>12</v>
      </c>
      <c r="H111" s="21" t="n">
        <v>20</v>
      </c>
      <c r="I111" s="21" t="n">
        <v>28</v>
      </c>
      <c r="J111" s="22" t="n">
        <f aca="false">F111*G111</f>
        <v>698.28</v>
      </c>
      <c r="K111" s="22" t="n">
        <f aca="false">F111*H111</f>
        <v>1163.8</v>
      </c>
      <c r="L111" s="22" t="n">
        <f aca="false">F111*I111</f>
        <v>1629.32</v>
      </c>
      <c r="M111" s="5" t="s">
        <v>365</v>
      </c>
    </row>
    <row r="112" customFormat="false" ht="15" hidden="false" customHeight="false" outlineLevel="0" collapsed="false">
      <c r="A112" s="5" t="s">
        <v>705</v>
      </c>
      <c r="B112" s="5" t="s">
        <v>261</v>
      </c>
      <c r="C112" s="5" t="s">
        <v>186</v>
      </c>
      <c r="D112" s="5" t="s">
        <v>262</v>
      </c>
      <c r="E112" s="5" t="s">
        <v>188</v>
      </c>
      <c r="F112" s="21" t="n">
        <v>50.14</v>
      </c>
      <c r="G112" s="21" t="n">
        <v>12</v>
      </c>
      <c r="H112" s="21" t="n">
        <v>20</v>
      </c>
      <c r="I112" s="21" t="n">
        <v>28</v>
      </c>
      <c r="J112" s="22" t="n">
        <f aca="false">F112*G112</f>
        <v>601.68</v>
      </c>
      <c r="K112" s="22" t="n">
        <f aca="false">F112*H112</f>
        <v>1002.8</v>
      </c>
      <c r="L112" s="22" t="n">
        <f aca="false">F112*I112</f>
        <v>1403.92</v>
      </c>
      <c r="M112" s="5" t="s">
        <v>366</v>
      </c>
    </row>
    <row r="113" customFormat="false" ht="15" hidden="false" customHeight="false" outlineLevel="0" collapsed="false">
      <c r="A113" s="5" t="s">
        <v>705</v>
      </c>
      <c r="B113" s="5" t="s">
        <v>367</v>
      </c>
      <c r="C113" s="5" t="s">
        <v>186</v>
      </c>
      <c r="D113" s="5" t="s">
        <v>368</v>
      </c>
      <c r="E113" s="5" t="s">
        <v>188</v>
      </c>
      <c r="F113" s="21" t="n">
        <v>91.17</v>
      </c>
      <c r="G113" s="21" t="n">
        <v>1.8</v>
      </c>
      <c r="H113" s="21" t="n">
        <v>3</v>
      </c>
      <c r="I113" s="21" t="n">
        <v>4.2</v>
      </c>
      <c r="J113" s="22" t="n">
        <f aca="false">F113*G113</f>
        <v>164.106</v>
      </c>
      <c r="K113" s="22" t="n">
        <f aca="false">F113*H113</f>
        <v>273.51</v>
      </c>
      <c r="L113" s="22" t="n">
        <f aca="false">F113*I113</f>
        <v>382.914</v>
      </c>
      <c r="M113" s="5" t="s">
        <v>369</v>
      </c>
    </row>
    <row r="114" customFormat="false" ht="15" hidden="false" customHeight="false" outlineLevel="0" collapsed="false">
      <c r="A114" s="5" t="s">
        <v>706</v>
      </c>
      <c r="B114" s="5" t="s">
        <v>239</v>
      </c>
      <c r="C114" s="5" t="s">
        <v>186</v>
      </c>
      <c r="D114" s="5" t="s">
        <v>240</v>
      </c>
      <c r="E114" s="5" t="s">
        <v>188</v>
      </c>
      <c r="F114" s="21" t="n">
        <v>101.54</v>
      </c>
      <c r="G114" s="21" t="n">
        <v>15</v>
      </c>
      <c r="H114" s="21" t="n">
        <v>25</v>
      </c>
      <c r="I114" s="21" t="n">
        <v>35</v>
      </c>
      <c r="J114" s="22" t="n">
        <f aca="false">F114*G114</f>
        <v>1523.1</v>
      </c>
      <c r="K114" s="22" t="n">
        <f aca="false">F114*H114</f>
        <v>2538.5</v>
      </c>
      <c r="L114" s="22" t="n">
        <f aca="false">F114*I114</f>
        <v>3553.9</v>
      </c>
      <c r="M114" s="5" t="s">
        <v>371</v>
      </c>
    </row>
    <row r="115" customFormat="false" ht="15" hidden="false" customHeight="false" outlineLevel="0" collapsed="false">
      <c r="A115" s="5" t="s">
        <v>706</v>
      </c>
      <c r="B115" s="5" t="s">
        <v>242</v>
      </c>
      <c r="C115" s="5" t="s">
        <v>186</v>
      </c>
      <c r="D115" s="5" t="s">
        <v>243</v>
      </c>
      <c r="E115" s="5" t="s">
        <v>188</v>
      </c>
      <c r="F115" s="21" t="n">
        <v>42.42</v>
      </c>
      <c r="G115" s="21" t="n">
        <v>15</v>
      </c>
      <c r="H115" s="21" t="n">
        <v>25</v>
      </c>
      <c r="I115" s="21" t="n">
        <v>35</v>
      </c>
      <c r="J115" s="22" t="n">
        <f aca="false">F115*G115</f>
        <v>636.3</v>
      </c>
      <c r="K115" s="22" t="n">
        <f aca="false">F115*H115</f>
        <v>1060.5</v>
      </c>
      <c r="L115" s="22" t="n">
        <f aca="false">F115*I115</f>
        <v>1484.7</v>
      </c>
      <c r="M115" s="5" t="s">
        <v>372</v>
      </c>
    </row>
    <row r="116" customFormat="false" ht="15" hidden="false" customHeight="false" outlineLevel="0" collapsed="false">
      <c r="A116" s="5" t="s">
        <v>706</v>
      </c>
      <c r="B116" s="5" t="s">
        <v>245</v>
      </c>
      <c r="C116" s="5" t="s">
        <v>186</v>
      </c>
      <c r="D116" s="5" t="s">
        <v>246</v>
      </c>
      <c r="E116" s="5" t="s">
        <v>188</v>
      </c>
      <c r="F116" s="21" t="n">
        <v>73.2</v>
      </c>
      <c r="G116" s="21" t="n">
        <v>10.8</v>
      </c>
      <c r="H116" s="21" t="n">
        <v>18</v>
      </c>
      <c r="I116" s="21" t="n">
        <v>25.2</v>
      </c>
      <c r="J116" s="22" t="n">
        <f aca="false">F116*G116</f>
        <v>790.56</v>
      </c>
      <c r="K116" s="22" t="n">
        <f aca="false">F116*H116</f>
        <v>1317.6</v>
      </c>
      <c r="L116" s="22" t="n">
        <f aca="false">F116*I116</f>
        <v>1844.64</v>
      </c>
      <c r="M116" s="5" t="s">
        <v>373</v>
      </c>
    </row>
    <row r="117" customFormat="false" ht="15" hidden="false" customHeight="false" outlineLevel="0" collapsed="false">
      <c r="A117" s="5" t="s">
        <v>707</v>
      </c>
      <c r="B117" s="5" t="s">
        <v>275</v>
      </c>
      <c r="C117" s="5" t="s">
        <v>186</v>
      </c>
      <c r="D117" s="5" t="s">
        <v>276</v>
      </c>
      <c r="E117" s="5" t="s">
        <v>277</v>
      </c>
      <c r="F117" s="21" t="n">
        <v>1179.17</v>
      </c>
      <c r="G117" s="21" t="n">
        <v>0.8</v>
      </c>
      <c r="H117" s="21" t="n">
        <v>1.33</v>
      </c>
      <c r="I117" s="21" t="n">
        <v>1.87</v>
      </c>
      <c r="J117" s="22" t="n">
        <f aca="false">F117*G117</f>
        <v>943.336</v>
      </c>
      <c r="K117" s="22" t="n">
        <f aca="false">F117*H117</f>
        <v>1568.2961</v>
      </c>
      <c r="L117" s="22" t="n">
        <f aca="false">F117*I117</f>
        <v>2205.0479</v>
      </c>
      <c r="M117" s="5" t="s">
        <v>375</v>
      </c>
    </row>
    <row r="118" customFormat="false" ht="15" hidden="false" customHeight="false" outlineLevel="0" collapsed="false">
      <c r="A118" s="5" t="s">
        <v>707</v>
      </c>
      <c r="B118" s="5" t="s">
        <v>272</v>
      </c>
      <c r="C118" s="5" t="s">
        <v>186</v>
      </c>
      <c r="D118" s="5" t="s">
        <v>273</v>
      </c>
      <c r="E118" s="5" t="s">
        <v>188</v>
      </c>
      <c r="F118" s="21" t="n">
        <v>223.25</v>
      </c>
      <c r="G118" s="21" t="n">
        <v>1.8</v>
      </c>
      <c r="H118" s="21" t="n">
        <v>3</v>
      </c>
      <c r="I118" s="21" t="n">
        <v>4.2</v>
      </c>
      <c r="J118" s="22" t="n">
        <f aca="false">F118*G118</f>
        <v>401.85</v>
      </c>
      <c r="K118" s="22" t="n">
        <f aca="false">F118*H118</f>
        <v>669.75</v>
      </c>
      <c r="L118" s="22" t="n">
        <f aca="false">F118*I118</f>
        <v>937.65</v>
      </c>
      <c r="M118" s="5" t="s">
        <v>376</v>
      </c>
    </row>
    <row r="119" customFormat="false" ht="15" hidden="false" customHeight="false" outlineLevel="0" collapsed="false">
      <c r="A119" s="5" t="s">
        <v>708</v>
      </c>
      <c r="B119" s="5" t="s">
        <v>265</v>
      </c>
      <c r="C119" s="5" t="s">
        <v>186</v>
      </c>
      <c r="D119" s="5" t="s">
        <v>266</v>
      </c>
      <c r="E119" s="5" t="s">
        <v>188</v>
      </c>
      <c r="F119" s="21" t="n">
        <v>12.33</v>
      </c>
      <c r="G119" s="21" t="n">
        <v>28.8</v>
      </c>
      <c r="H119" s="21" t="n">
        <v>48</v>
      </c>
      <c r="I119" s="21" t="n">
        <v>67.2</v>
      </c>
      <c r="J119" s="22" t="n">
        <f aca="false">F119*G119</f>
        <v>355.104</v>
      </c>
      <c r="K119" s="22" t="n">
        <f aca="false">F119*H119</f>
        <v>591.84</v>
      </c>
      <c r="L119" s="22" t="n">
        <f aca="false">F119*I119</f>
        <v>828.576</v>
      </c>
      <c r="M119" s="5" t="s">
        <v>378</v>
      </c>
    </row>
    <row r="120" customFormat="false" ht="15" hidden="false" customHeight="false" outlineLevel="0" collapsed="false">
      <c r="A120" s="5" t="s">
        <v>708</v>
      </c>
      <c r="B120" s="5" t="s">
        <v>379</v>
      </c>
      <c r="C120" s="5" t="s">
        <v>186</v>
      </c>
      <c r="D120" s="5" t="s">
        <v>380</v>
      </c>
      <c r="E120" s="5" t="s">
        <v>188</v>
      </c>
      <c r="F120" s="21" t="n">
        <v>23.22</v>
      </c>
      <c r="G120" s="21" t="n">
        <v>7.2</v>
      </c>
      <c r="H120" s="21" t="n">
        <v>12</v>
      </c>
      <c r="I120" s="21" t="n">
        <v>16.8</v>
      </c>
      <c r="J120" s="22" t="n">
        <f aca="false">F120*G120</f>
        <v>167.184</v>
      </c>
      <c r="K120" s="22" t="n">
        <f aca="false">F120*H120</f>
        <v>278.64</v>
      </c>
      <c r="L120" s="22" t="n">
        <f aca="false">F120*I120</f>
        <v>390.096</v>
      </c>
      <c r="M120" s="5" t="s">
        <v>381</v>
      </c>
    </row>
    <row r="121" customFormat="false" ht="15" hidden="false" customHeight="false" outlineLevel="0" collapsed="false">
      <c r="A121" s="5" t="s">
        <v>709</v>
      </c>
      <c r="B121" s="5" t="s">
        <v>280</v>
      </c>
      <c r="C121" s="5" t="s">
        <v>186</v>
      </c>
      <c r="D121" s="5" t="s">
        <v>281</v>
      </c>
      <c r="E121" s="5" t="s">
        <v>277</v>
      </c>
      <c r="F121" s="21" t="n">
        <v>53.69</v>
      </c>
      <c r="G121" s="21" t="n">
        <v>2</v>
      </c>
      <c r="H121" s="21" t="n">
        <v>3.33</v>
      </c>
      <c r="I121" s="21" t="n">
        <v>4.67</v>
      </c>
      <c r="J121" s="22" t="n">
        <f aca="false">F121*G121</f>
        <v>107.38</v>
      </c>
      <c r="K121" s="22" t="n">
        <f aca="false">F121*H121</f>
        <v>178.7877</v>
      </c>
      <c r="L121" s="22" t="n">
        <f aca="false">F121*I121</f>
        <v>250.7323</v>
      </c>
      <c r="M121" s="5" t="s">
        <v>383</v>
      </c>
    </row>
    <row r="122" customFormat="false" ht="15" hidden="false" customHeight="false" outlineLevel="0" collapsed="false">
      <c r="A122" s="5" t="s">
        <v>709</v>
      </c>
      <c r="B122" s="5" t="s">
        <v>283</v>
      </c>
      <c r="C122" s="5" t="s">
        <v>186</v>
      </c>
      <c r="D122" s="5" t="s">
        <v>284</v>
      </c>
      <c r="E122" s="5" t="s">
        <v>277</v>
      </c>
      <c r="F122" s="21" t="n">
        <v>30.86</v>
      </c>
      <c r="G122" s="21" t="n">
        <v>1.5</v>
      </c>
      <c r="H122" s="21" t="n">
        <v>2.5</v>
      </c>
      <c r="I122" s="21" t="n">
        <v>3.5</v>
      </c>
      <c r="J122" s="22" t="n">
        <f aca="false">F122*G122</f>
        <v>46.29</v>
      </c>
      <c r="K122" s="22" t="n">
        <f aca="false">F122*H122</f>
        <v>77.15</v>
      </c>
      <c r="L122" s="22" t="n">
        <f aca="false">F122*I122</f>
        <v>108.01</v>
      </c>
      <c r="M122" s="5" t="s">
        <v>384</v>
      </c>
    </row>
    <row r="123" customFormat="false" ht="15" hidden="false" customHeight="false" outlineLevel="0" collapsed="false">
      <c r="A123" s="5" t="s">
        <v>709</v>
      </c>
      <c r="B123" s="5" t="s">
        <v>286</v>
      </c>
      <c r="C123" s="5" t="s">
        <v>186</v>
      </c>
      <c r="D123" s="5" t="s">
        <v>287</v>
      </c>
      <c r="E123" s="5" t="s">
        <v>194</v>
      </c>
      <c r="F123" s="21" t="n">
        <v>5.48</v>
      </c>
      <c r="G123" s="21" t="n">
        <v>144</v>
      </c>
      <c r="H123" s="21" t="n">
        <v>240</v>
      </c>
      <c r="I123" s="21" t="n">
        <v>336</v>
      </c>
      <c r="J123" s="22" t="n">
        <f aca="false">F123*G123</f>
        <v>789.12</v>
      </c>
      <c r="K123" s="22" t="n">
        <f aca="false">F123*H123</f>
        <v>1315.2</v>
      </c>
      <c r="L123" s="22" t="n">
        <f aca="false">F123*I123</f>
        <v>1841.28</v>
      </c>
      <c r="M123" s="5" t="s">
        <v>385</v>
      </c>
    </row>
    <row r="124" customFormat="false" ht="15" hidden="false" customHeight="false" outlineLevel="0" collapsed="false">
      <c r="A124" s="5" t="s">
        <v>709</v>
      </c>
      <c r="B124" s="5" t="s">
        <v>289</v>
      </c>
      <c r="C124" s="5" t="s">
        <v>186</v>
      </c>
      <c r="D124" s="5" t="s">
        <v>290</v>
      </c>
      <c r="E124" s="5" t="s">
        <v>194</v>
      </c>
      <c r="F124" s="21" t="n">
        <v>11.2</v>
      </c>
      <c r="G124" s="21" t="n">
        <v>48</v>
      </c>
      <c r="H124" s="21" t="n">
        <v>80</v>
      </c>
      <c r="I124" s="21" t="n">
        <v>112</v>
      </c>
      <c r="J124" s="22" t="n">
        <f aca="false">F124*G124</f>
        <v>537.6</v>
      </c>
      <c r="K124" s="22" t="n">
        <f aca="false">F124*H124</f>
        <v>896</v>
      </c>
      <c r="L124" s="22" t="n">
        <f aca="false">F124*I124</f>
        <v>1254.4</v>
      </c>
      <c r="M124" s="5" t="s">
        <v>386</v>
      </c>
    </row>
    <row r="125" customFormat="false" ht="15" hidden="false" customHeight="false" outlineLevel="0" collapsed="false">
      <c r="A125" s="5" t="s">
        <v>710</v>
      </c>
      <c r="B125" s="5" t="s">
        <v>301</v>
      </c>
      <c r="C125" s="5" t="s">
        <v>186</v>
      </c>
      <c r="D125" s="5" t="s">
        <v>302</v>
      </c>
      <c r="E125" s="5" t="s">
        <v>194</v>
      </c>
      <c r="F125" s="21" t="n">
        <v>43.26</v>
      </c>
      <c r="G125" s="21" t="n">
        <v>3.6</v>
      </c>
      <c r="H125" s="21" t="n">
        <v>6</v>
      </c>
      <c r="I125" s="21" t="n">
        <v>8.4</v>
      </c>
      <c r="J125" s="22" t="n">
        <f aca="false">F125*G125</f>
        <v>155.736</v>
      </c>
      <c r="K125" s="22" t="n">
        <f aca="false">F125*H125</f>
        <v>259.56</v>
      </c>
      <c r="L125" s="22" t="n">
        <f aca="false">F125*I125</f>
        <v>363.384</v>
      </c>
      <c r="M125" s="5" t="s">
        <v>388</v>
      </c>
    </row>
    <row r="126" customFormat="false" ht="15" hidden="false" customHeight="false" outlineLevel="0" collapsed="false">
      <c r="A126" s="5" t="s">
        <v>709</v>
      </c>
      <c r="B126" s="5" t="s">
        <v>292</v>
      </c>
      <c r="C126" s="5" t="s">
        <v>186</v>
      </c>
      <c r="D126" s="5" t="s">
        <v>293</v>
      </c>
      <c r="E126" s="5" t="s">
        <v>277</v>
      </c>
      <c r="F126" s="21" t="n">
        <v>623.29</v>
      </c>
      <c r="G126" s="21" t="n">
        <v>1</v>
      </c>
      <c r="H126" s="21" t="n">
        <v>1</v>
      </c>
      <c r="I126" s="21" t="n">
        <v>1</v>
      </c>
      <c r="J126" s="22" t="n">
        <f aca="false">F126*G126</f>
        <v>623.29</v>
      </c>
      <c r="K126" s="22" t="n">
        <f aca="false">F126*H126</f>
        <v>623.29</v>
      </c>
      <c r="L126" s="22" t="n">
        <f aca="false">F126*I126</f>
        <v>623.29</v>
      </c>
      <c r="M126" s="5" t="s">
        <v>389</v>
      </c>
    </row>
    <row r="127" customFormat="false" ht="15" hidden="false" customHeight="false" outlineLevel="0" collapsed="false">
      <c r="A127" s="5" t="s">
        <v>710</v>
      </c>
      <c r="B127" s="5" t="s">
        <v>295</v>
      </c>
      <c r="C127" s="5" t="s">
        <v>186</v>
      </c>
      <c r="D127" s="5" t="s">
        <v>296</v>
      </c>
      <c r="E127" s="5" t="s">
        <v>277</v>
      </c>
      <c r="F127" s="21" t="n">
        <v>630.3</v>
      </c>
      <c r="G127" s="21" t="n">
        <v>0.3</v>
      </c>
      <c r="H127" s="21" t="n">
        <v>0.5</v>
      </c>
      <c r="I127" s="21" t="n">
        <v>0.7</v>
      </c>
      <c r="J127" s="22" t="n">
        <f aca="false">F127*G127</f>
        <v>189.09</v>
      </c>
      <c r="K127" s="22" t="n">
        <f aca="false">F127*H127</f>
        <v>315.15</v>
      </c>
      <c r="L127" s="22" t="n">
        <f aca="false">F127*I127</f>
        <v>441.21</v>
      </c>
      <c r="M127" s="5" t="s">
        <v>390</v>
      </c>
    </row>
    <row r="128" customFormat="false" ht="15" hidden="false" customHeight="false" outlineLevel="0" collapsed="false">
      <c r="A128" s="5" t="s">
        <v>710</v>
      </c>
      <c r="B128" s="5" t="s">
        <v>298</v>
      </c>
      <c r="C128" s="5" t="s">
        <v>186</v>
      </c>
      <c r="D128" s="5" t="s">
        <v>299</v>
      </c>
      <c r="E128" s="5" t="s">
        <v>277</v>
      </c>
      <c r="F128" s="21" t="n">
        <v>368.02</v>
      </c>
      <c r="G128" s="21" t="n">
        <v>0.3</v>
      </c>
      <c r="H128" s="21" t="n">
        <v>0.5</v>
      </c>
      <c r="I128" s="21" t="n">
        <v>0.7</v>
      </c>
      <c r="J128" s="22" t="n">
        <f aca="false">F128*G128</f>
        <v>110.406</v>
      </c>
      <c r="K128" s="22" t="n">
        <f aca="false">F128*H128</f>
        <v>184.01</v>
      </c>
      <c r="L128" s="22" t="n">
        <f aca="false">F128*I128</f>
        <v>257.614</v>
      </c>
      <c r="M128" s="5" t="s">
        <v>391</v>
      </c>
    </row>
    <row r="129" customFormat="false" ht="15" hidden="false" customHeight="false" outlineLevel="0" collapsed="false">
      <c r="A129" s="5" t="s">
        <v>710</v>
      </c>
      <c r="B129" s="5" t="s">
        <v>392</v>
      </c>
      <c r="C129" s="5" t="s">
        <v>186</v>
      </c>
      <c r="D129" s="5" t="s">
        <v>393</v>
      </c>
      <c r="E129" s="5" t="s">
        <v>277</v>
      </c>
      <c r="F129" s="21" t="n">
        <v>852.26</v>
      </c>
      <c r="G129" s="21" t="n">
        <v>1</v>
      </c>
      <c r="H129" s="21" t="n">
        <v>1</v>
      </c>
      <c r="I129" s="21" t="n">
        <v>1</v>
      </c>
      <c r="J129" s="22" t="n">
        <f aca="false">F129*G129</f>
        <v>852.26</v>
      </c>
      <c r="K129" s="22" t="n">
        <f aca="false">F129*H129</f>
        <v>852.26</v>
      </c>
      <c r="L129" s="22" t="n">
        <f aca="false">F129*I129</f>
        <v>852.26</v>
      </c>
      <c r="M129" s="5" t="s">
        <v>394</v>
      </c>
    </row>
    <row r="130" customFormat="false" ht="15" hidden="false" customHeight="false" outlineLevel="0" collapsed="false">
      <c r="A130" s="5" t="s">
        <v>710</v>
      </c>
      <c r="B130" s="5" t="s">
        <v>395</v>
      </c>
      <c r="C130" s="5" t="s">
        <v>186</v>
      </c>
      <c r="D130" s="5" t="s">
        <v>396</v>
      </c>
      <c r="E130" s="5" t="s">
        <v>277</v>
      </c>
      <c r="F130" s="21" t="n">
        <v>333.31</v>
      </c>
      <c r="G130" s="21" t="n">
        <v>1</v>
      </c>
      <c r="H130" s="21" t="n">
        <v>1</v>
      </c>
      <c r="I130" s="21" t="n">
        <v>1</v>
      </c>
      <c r="J130" s="22" t="n">
        <f aca="false">F130*G130</f>
        <v>333.31</v>
      </c>
      <c r="K130" s="22" t="n">
        <f aca="false">F130*H130</f>
        <v>333.31</v>
      </c>
      <c r="L130" s="22" t="n">
        <f aca="false">F130*I130</f>
        <v>333.31</v>
      </c>
      <c r="M130" s="5" t="s">
        <v>397</v>
      </c>
    </row>
    <row r="131" customFormat="false" ht="15" hidden="false" customHeight="false" outlineLevel="0" collapsed="false">
      <c r="A131" s="5" t="s">
        <v>711</v>
      </c>
      <c r="B131" s="5" t="s">
        <v>305</v>
      </c>
      <c r="C131" s="5" t="s">
        <v>186</v>
      </c>
      <c r="D131" s="5" t="s">
        <v>306</v>
      </c>
      <c r="E131" s="5" t="s">
        <v>277</v>
      </c>
      <c r="F131" s="21" t="n">
        <v>288.1</v>
      </c>
      <c r="G131" s="21" t="n">
        <v>1</v>
      </c>
      <c r="H131" s="21" t="n">
        <v>1</v>
      </c>
      <c r="I131" s="21" t="n">
        <v>1</v>
      </c>
      <c r="J131" s="22" t="n">
        <f aca="false">F131*G131</f>
        <v>288.1</v>
      </c>
      <c r="K131" s="22" t="n">
        <f aca="false">F131*H131</f>
        <v>288.1</v>
      </c>
      <c r="L131" s="22" t="n">
        <f aca="false">F131*I131</f>
        <v>288.1</v>
      </c>
      <c r="M131" s="5" t="s">
        <v>399</v>
      </c>
    </row>
    <row r="132" customFormat="false" ht="15" hidden="false" customHeight="false" outlineLevel="0" collapsed="false">
      <c r="A132" s="5" t="s">
        <v>711</v>
      </c>
      <c r="B132" s="5" t="s">
        <v>308</v>
      </c>
      <c r="C132" s="5" t="s">
        <v>186</v>
      </c>
      <c r="D132" s="5" t="s">
        <v>309</v>
      </c>
      <c r="E132" s="5" t="s">
        <v>277</v>
      </c>
      <c r="F132" s="21" t="n">
        <v>17.96</v>
      </c>
      <c r="G132" s="21" t="n">
        <v>1</v>
      </c>
      <c r="H132" s="21" t="n">
        <v>1</v>
      </c>
      <c r="I132" s="21" t="n">
        <v>1</v>
      </c>
      <c r="J132" s="22" t="n">
        <f aca="false">F132*G132</f>
        <v>17.96</v>
      </c>
      <c r="K132" s="22" t="n">
        <f aca="false">F132*H132</f>
        <v>17.96</v>
      </c>
      <c r="L132" s="22" t="n">
        <f aca="false">F132*I132</f>
        <v>17.96</v>
      </c>
      <c r="M132" s="5" t="s">
        <v>400</v>
      </c>
    </row>
    <row r="133" customFormat="false" ht="15" hidden="false" customHeight="false" outlineLevel="0" collapsed="false">
      <c r="A133" s="5" t="s">
        <v>711</v>
      </c>
      <c r="B133" s="5" t="s">
        <v>311</v>
      </c>
      <c r="C133" s="5" t="s">
        <v>192</v>
      </c>
      <c r="D133" s="5" t="s">
        <v>312</v>
      </c>
      <c r="E133" s="5" t="s">
        <v>277</v>
      </c>
      <c r="F133" s="21" t="n">
        <v>20.47</v>
      </c>
      <c r="G133" s="21" t="n">
        <v>1</v>
      </c>
      <c r="H133" s="21" t="n">
        <v>1</v>
      </c>
      <c r="I133" s="21" t="n">
        <v>1</v>
      </c>
      <c r="J133" s="22" t="n">
        <f aca="false">F133*G133</f>
        <v>20.47</v>
      </c>
      <c r="K133" s="22" t="n">
        <f aca="false">F133*H133</f>
        <v>20.47</v>
      </c>
      <c r="L133" s="22" t="n">
        <f aca="false">F133*I133</f>
        <v>20.47</v>
      </c>
      <c r="M133" s="5" t="s">
        <v>401</v>
      </c>
    </row>
    <row r="134" customFormat="false" ht="15" hidden="false" customHeight="false" outlineLevel="0" collapsed="false">
      <c r="I134" s="7" t="s">
        <v>323</v>
      </c>
      <c r="J134" s="23" t="n">
        <f aca="false">SUM(J17:J133)</f>
        <v>1021345.4068</v>
      </c>
      <c r="K134" s="23" t="n">
        <f aca="false">SUM(K17:K133)</f>
        <v>1700750.2128</v>
      </c>
      <c r="L134" s="23" t="n">
        <f aca="false">SUM(L17:L133)</f>
        <v>2380227.3104</v>
      </c>
    </row>
    <row r="135" customFormat="false" ht="15" hidden="false" customHeight="false" outlineLevel="0" collapsed="false">
      <c r="I135" s="7" t="s">
        <v>324</v>
      </c>
      <c r="J135" s="24" t="n">
        <f aca="false">PARAMETROS!$B$6</f>
        <v>0.2034</v>
      </c>
      <c r="K135" s="24" t="n">
        <f aca="false">PARAMETROS!$C$6</f>
        <v>0.2212</v>
      </c>
      <c r="L135" s="24" t="n">
        <f aca="false">PARAMETROS!$D$6</f>
        <v>0.25</v>
      </c>
    </row>
    <row r="136" customFormat="false" ht="15" hidden="false" customHeight="false" outlineLevel="0" collapsed="false">
      <c r="I136" s="7" t="s">
        <v>325</v>
      </c>
      <c r="J136" s="24" t="n">
        <f aca="false">PARAMETROS!$B$8</f>
        <v>0.05</v>
      </c>
      <c r="K136" s="24" t="n">
        <f aca="false">PARAMETROS!$C$8</f>
        <v>0.1</v>
      </c>
      <c r="L136" s="24" t="n">
        <f aca="false">PARAMETROS!$D$8</f>
        <v>0.15</v>
      </c>
    </row>
    <row r="137" customFormat="false" ht="15" hidden="false" customHeight="false" outlineLevel="0" collapsed="false">
      <c r="I137" s="7" t="s">
        <v>155</v>
      </c>
      <c r="J137" s="25" t="n">
        <f aca="false">PARAMETROS!$B$9</f>
        <v>1</v>
      </c>
      <c r="K137" s="25" t="n">
        <f aca="false">PARAMETROS!$C$9</f>
        <v>1</v>
      </c>
      <c r="L137" s="25" t="n">
        <f aca="false">PARAMETROS!$D$9</f>
        <v>1.1</v>
      </c>
    </row>
    <row r="138" customFormat="false" ht="15" hidden="false" customHeight="false" outlineLevel="0" collapsed="false">
      <c r="I138" s="7" t="s">
        <v>326</v>
      </c>
      <c r="J138" s="8" t="n">
        <f aca="false">J134*(1+J135)*(1+J136)*J137</f>
        <v>1290541.41567028</v>
      </c>
      <c r="K138" s="8" t="n">
        <f aca="false">K134*(1+K135)*(1+K136)*K137</f>
        <v>2284651.7758585</v>
      </c>
      <c r="L138" s="8" t="n">
        <f aca="false">L134*(1+L135)*(1+L136)*L137</f>
        <v>3763734.43457</v>
      </c>
    </row>
    <row r="140" customFormat="false" ht="15" hidden="false" customHeight="false" outlineLevel="0" collapsed="false">
      <c r="A140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5" topLeftCell="E16" activePane="bottomRight" state="frozen"/>
      <selection pane="topLeft" activeCell="A1" activeCellId="0" sqref="A1"/>
      <selection pane="topRight" activeCell="E1" activeCellId="0" sqref="E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712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71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73</v>
      </c>
    </row>
    <row r="7" customFormat="false" ht="15" hidden="false" customHeight="false" outlineLevel="0" collapsed="false">
      <c r="A7" s="7" t="s">
        <v>8</v>
      </c>
      <c r="B7" s="10" t="s">
        <v>18</v>
      </c>
    </row>
    <row r="8" customFormat="false" ht="15" hidden="false" customHeight="false" outlineLevel="0" collapsed="false">
      <c r="A8" s="7" t="s">
        <v>160</v>
      </c>
      <c r="B8" s="10" t="s">
        <v>713</v>
      </c>
    </row>
    <row r="9" customFormat="false" ht="15" hidden="false" customHeight="false" outlineLevel="0" collapsed="false">
      <c r="A9" s="7" t="s">
        <v>9</v>
      </c>
      <c r="B9" s="10" t="s">
        <v>46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714</v>
      </c>
    </row>
    <row r="13" customFormat="false" ht="15" hidden="false" customHeight="false" outlineLevel="0" collapsed="false">
      <c r="B13" s="20" t="s">
        <v>556</v>
      </c>
    </row>
    <row r="15" customFormat="false" ht="23.85" hidden="false" customHeight="false" outlineLevel="0" collapsed="false">
      <c r="A15" s="4" t="s">
        <v>171</v>
      </c>
      <c r="B15" s="4" t="s">
        <v>172</v>
      </c>
      <c r="C15" s="4" t="s">
        <v>173</v>
      </c>
      <c r="D15" s="4" t="s">
        <v>174</v>
      </c>
      <c r="E15" s="4" t="s">
        <v>175</v>
      </c>
      <c r="F15" s="4" t="s">
        <v>176</v>
      </c>
      <c r="G15" s="4" t="s">
        <v>177</v>
      </c>
      <c r="H15" s="4" t="s">
        <v>178</v>
      </c>
      <c r="I15" s="4" t="s">
        <v>179</v>
      </c>
      <c r="J15" s="4" t="s">
        <v>180</v>
      </c>
      <c r="K15" s="4" t="s">
        <v>181</v>
      </c>
      <c r="L15" s="4" t="s">
        <v>182</v>
      </c>
      <c r="M15" s="4" t="s">
        <v>183</v>
      </c>
    </row>
    <row r="16" customFormat="false" ht="15" hidden="false" customHeight="false" outlineLevel="0" collapsed="false">
      <c r="A16" s="5" t="s">
        <v>333</v>
      </c>
      <c r="B16" s="5" t="s">
        <v>216</v>
      </c>
      <c r="C16" s="5" t="s">
        <v>186</v>
      </c>
      <c r="D16" s="5" t="s">
        <v>217</v>
      </c>
      <c r="E16" s="5" t="s">
        <v>188</v>
      </c>
      <c r="F16" s="21" t="n">
        <v>454.97</v>
      </c>
      <c r="G16" s="21" t="n">
        <v>6</v>
      </c>
      <c r="H16" s="21" t="n">
        <v>6</v>
      </c>
      <c r="I16" s="21" t="n">
        <v>6</v>
      </c>
      <c r="J16" s="22" t="n">
        <f aca="false">F16*G16</f>
        <v>2729.82</v>
      </c>
      <c r="K16" s="22" t="n">
        <f aca="false">F16*H16</f>
        <v>2729.82</v>
      </c>
      <c r="L16" s="22" t="n">
        <f aca="false">F16*I16</f>
        <v>2729.82</v>
      </c>
      <c r="M16" s="5" t="s">
        <v>218</v>
      </c>
    </row>
    <row r="17" customFormat="false" ht="15" hidden="false" customHeight="false" outlineLevel="0" collapsed="false">
      <c r="A17" s="5" t="s">
        <v>557</v>
      </c>
      <c r="B17" s="5" t="s">
        <v>220</v>
      </c>
      <c r="C17" s="5" t="s">
        <v>186</v>
      </c>
      <c r="D17" s="5" t="s">
        <v>221</v>
      </c>
      <c r="E17" s="5" t="s">
        <v>188</v>
      </c>
      <c r="F17" s="21" t="n">
        <v>4.43</v>
      </c>
      <c r="G17" s="21" t="n">
        <v>50</v>
      </c>
      <c r="H17" s="21" t="n">
        <v>187.5</v>
      </c>
      <c r="I17" s="21" t="n">
        <v>500</v>
      </c>
      <c r="J17" s="22" t="n">
        <f aca="false">F17*G17</f>
        <v>221.5</v>
      </c>
      <c r="K17" s="22" t="n">
        <f aca="false">F17*H17</f>
        <v>830.625</v>
      </c>
      <c r="L17" s="22" t="n">
        <f aca="false">F17*I17</f>
        <v>2215</v>
      </c>
      <c r="M17" s="5" t="s">
        <v>222</v>
      </c>
    </row>
    <row r="18" customFormat="false" ht="15" hidden="false" customHeight="false" outlineLevel="0" collapsed="false">
      <c r="A18" s="5" t="s">
        <v>557</v>
      </c>
      <c r="B18" s="5" t="s">
        <v>223</v>
      </c>
      <c r="C18" s="5" t="s">
        <v>186</v>
      </c>
      <c r="D18" s="5" t="s">
        <v>224</v>
      </c>
      <c r="E18" s="5" t="s">
        <v>188</v>
      </c>
      <c r="F18" s="21" t="n">
        <v>9.56</v>
      </c>
      <c r="G18" s="21" t="n">
        <v>25</v>
      </c>
      <c r="H18" s="21" t="n">
        <v>93.75</v>
      </c>
      <c r="I18" s="21" t="n">
        <v>250</v>
      </c>
      <c r="J18" s="22" t="n">
        <f aca="false">F18*G18</f>
        <v>239</v>
      </c>
      <c r="K18" s="22" t="n">
        <f aca="false">F18*H18</f>
        <v>896.25</v>
      </c>
      <c r="L18" s="22" t="n">
        <f aca="false">F18*I18</f>
        <v>2390</v>
      </c>
      <c r="M18" s="5" t="s">
        <v>225</v>
      </c>
    </row>
    <row r="19" customFormat="false" ht="15" hidden="false" customHeight="false" outlineLevel="0" collapsed="false">
      <c r="A19" s="5" t="s">
        <v>557</v>
      </c>
      <c r="B19" s="5" t="s">
        <v>226</v>
      </c>
      <c r="C19" s="5" t="s">
        <v>186</v>
      </c>
      <c r="D19" s="5" t="s">
        <v>227</v>
      </c>
      <c r="E19" s="5" t="s">
        <v>188</v>
      </c>
      <c r="F19" s="21" t="n">
        <v>2.58</v>
      </c>
      <c r="G19" s="21" t="n">
        <v>40</v>
      </c>
      <c r="H19" s="21" t="n">
        <v>150</v>
      </c>
      <c r="I19" s="21" t="n">
        <v>400</v>
      </c>
      <c r="J19" s="22" t="n">
        <f aca="false">F19*G19</f>
        <v>103.2</v>
      </c>
      <c r="K19" s="22" t="n">
        <f aca="false">F19*H19</f>
        <v>387</v>
      </c>
      <c r="L19" s="22" t="n">
        <f aca="false">F19*I19</f>
        <v>1032</v>
      </c>
      <c r="M19" s="5" t="s">
        <v>228</v>
      </c>
    </row>
    <row r="20" customFormat="false" ht="15" hidden="false" customHeight="false" outlineLevel="0" collapsed="false">
      <c r="A20" s="5" t="s">
        <v>557</v>
      </c>
      <c r="B20" s="5" t="s">
        <v>229</v>
      </c>
      <c r="C20" s="5" t="s">
        <v>186</v>
      </c>
      <c r="D20" s="5" t="s">
        <v>230</v>
      </c>
      <c r="E20" s="5" t="s">
        <v>188</v>
      </c>
      <c r="F20" s="21" t="n">
        <v>10.04</v>
      </c>
      <c r="G20" s="21" t="n">
        <v>20</v>
      </c>
      <c r="H20" s="21" t="n">
        <v>90</v>
      </c>
      <c r="I20" s="21" t="n">
        <v>240</v>
      </c>
      <c r="J20" s="22" t="n">
        <f aca="false">F20*G20</f>
        <v>200.8</v>
      </c>
      <c r="K20" s="22" t="n">
        <f aca="false">F20*H20</f>
        <v>903.6</v>
      </c>
      <c r="L20" s="22" t="n">
        <f aca="false">F20*I20</f>
        <v>2409.6</v>
      </c>
      <c r="M20" s="5" t="s">
        <v>231</v>
      </c>
    </row>
    <row r="21" customFormat="false" ht="15" hidden="false" customHeight="false" outlineLevel="0" collapsed="false">
      <c r="A21" s="5" t="s">
        <v>557</v>
      </c>
      <c r="B21" s="5" t="s">
        <v>232</v>
      </c>
      <c r="C21" s="5" t="s">
        <v>186</v>
      </c>
      <c r="D21" s="5" t="s">
        <v>233</v>
      </c>
      <c r="E21" s="5" t="s">
        <v>188</v>
      </c>
      <c r="F21" s="21" t="n">
        <v>28.42</v>
      </c>
      <c r="G21" s="21" t="n">
        <v>6</v>
      </c>
      <c r="H21" s="21" t="n">
        <v>27</v>
      </c>
      <c r="I21" s="21" t="n">
        <v>72</v>
      </c>
      <c r="J21" s="22" t="n">
        <f aca="false">F21*G21</f>
        <v>170.52</v>
      </c>
      <c r="K21" s="22" t="n">
        <f aca="false">F21*H21</f>
        <v>767.34</v>
      </c>
      <c r="L21" s="22" t="n">
        <f aca="false">F21*I21</f>
        <v>2046.24</v>
      </c>
      <c r="M21" s="5" t="s">
        <v>234</v>
      </c>
    </row>
    <row r="22" customFormat="false" ht="15" hidden="false" customHeight="false" outlineLevel="0" collapsed="false">
      <c r="A22" s="5" t="s">
        <v>557</v>
      </c>
      <c r="B22" s="5" t="s">
        <v>235</v>
      </c>
      <c r="C22" s="5" t="s">
        <v>186</v>
      </c>
      <c r="D22" s="5" t="s">
        <v>236</v>
      </c>
      <c r="E22" s="5" t="s">
        <v>188</v>
      </c>
      <c r="F22" s="21" t="n">
        <v>30.78</v>
      </c>
      <c r="G22" s="21" t="n">
        <v>3</v>
      </c>
      <c r="H22" s="21" t="n">
        <v>13.5</v>
      </c>
      <c r="I22" s="21" t="n">
        <v>36</v>
      </c>
      <c r="J22" s="22" t="n">
        <f aca="false">F22*G22</f>
        <v>92.34</v>
      </c>
      <c r="K22" s="22" t="n">
        <f aca="false">F22*H22</f>
        <v>415.53</v>
      </c>
      <c r="L22" s="22" t="n">
        <f aca="false">F22*I22</f>
        <v>1108.08</v>
      </c>
      <c r="M22" s="5" t="s">
        <v>237</v>
      </c>
    </row>
    <row r="23" customFormat="false" ht="15" hidden="false" customHeight="false" outlineLevel="0" collapsed="false">
      <c r="A23" s="5" t="s">
        <v>558</v>
      </c>
      <c r="B23" s="5" t="s">
        <v>239</v>
      </c>
      <c r="C23" s="5" t="s">
        <v>186</v>
      </c>
      <c r="D23" s="5" t="s">
        <v>240</v>
      </c>
      <c r="E23" s="5" t="s">
        <v>188</v>
      </c>
      <c r="F23" s="21" t="n">
        <v>101.54</v>
      </c>
      <c r="G23" s="21" t="n">
        <v>25</v>
      </c>
      <c r="H23" s="21" t="n">
        <v>93.75</v>
      </c>
      <c r="I23" s="21" t="n">
        <v>250</v>
      </c>
      <c r="J23" s="22" t="n">
        <f aca="false">F23*G23</f>
        <v>2538.5</v>
      </c>
      <c r="K23" s="22" t="n">
        <f aca="false">F23*H23</f>
        <v>9519.375</v>
      </c>
      <c r="L23" s="22" t="n">
        <f aca="false">F23*I23</f>
        <v>25385</v>
      </c>
      <c r="M23" s="5" t="s">
        <v>241</v>
      </c>
    </row>
    <row r="24" customFormat="false" ht="15" hidden="false" customHeight="false" outlineLevel="0" collapsed="false">
      <c r="A24" s="5" t="s">
        <v>558</v>
      </c>
      <c r="B24" s="5" t="s">
        <v>242</v>
      </c>
      <c r="C24" s="5" t="s">
        <v>186</v>
      </c>
      <c r="D24" s="5" t="s">
        <v>243</v>
      </c>
      <c r="E24" s="5" t="s">
        <v>188</v>
      </c>
      <c r="F24" s="21" t="n">
        <v>42.42</v>
      </c>
      <c r="G24" s="21" t="n">
        <v>50</v>
      </c>
      <c r="H24" s="21" t="n">
        <v>187.5</v>
      </c>
      <c r="I24" s="21" t="n">
        <v>500</v>
      </c>
      <c r="J24" s="22" t="n">
        <f aca="false">F24*G24</f>
        <v>2121</v>
      </c>
      <c r="K24" s="22" t="n">
        <f aca="false">F24*H24</f>
        <v>7953.75</v>
      </c>
      <c r="L24" s="22" t="n">
        <f aca="false">F24*I24</f>
        <v>21210</v>
      </c>
      <c r="M24" s="5" t="s">
        <v>244</v>
      </c>
    </row>
    <row r="25" customFormat="false" ht="15" hidden="false" customHeight="false" outlineLevel="0" collapsed="false">
      <c r="A25" s="5" t="s">
        <v>558</v>
      </c>
      <c r="B25" s="5" t="s">
        <v>245</v>
      </c>
      <c r="C25" s="5" t="s">
        <v>186</v>
      </c>
      <c r="D25" s="5" t="s">
        <v>246</v>
      </c>
      <c r="E25" s="5" t="s">
        <v>188</v>
      </c>
      <c r="F25" s="21" t="n">
        <v>73.2</v>
      </c>
      <c r="G25" s="21" t="n">
        <v>40</v>
      </c>
      <c r="H25" s="21" t="n">
        <v>150</v>
      </c>
      <c r="I25" s="21" t="n">
        <v>400</v>
      </c>
      <c r="J25" s="22" t="n">
        <f aca="false">F25*G25</f>
        <v>2928</v>
      </c>
      <c r="K25" s="22" t="n">
        <f aca="false">F25*H25</f>
        <v>10980</v>
      </c>
      <c r="L25" s="22" t="n">
        <f aca="false">F25*I25</f>
        <v>29280</v>
      </c>
      <c r="M25" s="5" t="s">
        <v>247</v>
      </c>
    </row>
    <row r="26" customFormat="false" ht="15" hidden="false" customHeight="false" outlineLevel="0" collapsed="false">
      <c r="A26" s="5" t="s">
        <v>559</v>
      </c>
      <c r="B26" s="5" t="s">
        <v>249</v>
      </c>
      <c r="C26" s="5" t="s">
        <v>186</v>
      </c>
      <c r="D26" s="5" t="s">
        <v>250</v>
      </c>
      <c r="E26" s="5" t="s">
        <v>188</v>
      </c>
      <c r="F26" s="21" t="n">
        <v>6.03</v>
      </c>
      <c r="G26" s="21" t="n">
        <v>48</v>
      </c>
      <c r="H26" s="21" t="n">
        <v>216</v>
      </c>
      <c r="I26" s="21" t="n">
        <v>576</v>
      </c>
      <c r="J26" s="22" t="n">
        <f aca="false">F26*G26</f>
        <v>289.44</v>
      </c>
      <c r="K26" s="22" t="n">
        <f aca="false">F26*H26</f>
        <v>1302.48</v>
      </c>
      <c r="L26" s="22" t="n">
        <f aca="false">F26*I26</f>
        <v>3473.28</v>
      </c>
      <c r="M26" s="5" t="s">
        <v>251</v>
      </c>
    </row>
    <row r="27" customFormat="false" ht="15" hidden="false" customHeight="false" outlineLevel="0" collapsed="false">
      <c r="A27" s="5" t="s">
        <v>559</v>
      </c>
      <c r="B27" s="5" t="s">
        <v>252</v>
      </c>
      <c r="C27" s="5" t="s">
        <v>186</v>
      </c>
      <c r="D27" s="5" t="s">
        <v>253</v>
      </c>
      <c r="E27" s="5" t="s">
        <v>188</v>
      </c>
      <c r="F27" s="21" t="n">
        <v>31.79</v>
      </c>
      <c r="G27" s="21" t="n">
        <v>48</v>
      </c>
      <c r="H27" s="21" t="n">
        <v>216</v>
      </c>
      <c r="I27" s="21" t="n">
        <v>576</v>
      </c>
      <c r="J27" s="22" t="n">
        <f aca="false">F27*G27</f>
        <v>1525.92</v>
      </c>
      <c r="K27" s="22" t="n">
        <f aca="false">F27*H27</f>
        <v>6866.64</v>
      </c>
      <c r="L27" s="22" t="n">
        <f aca="false">F27*I27</f>
        <v>18311.04</v>
      </c>
      <c r="M27" s="5" t="s">
        <v>254</v>
      </c>
    </row>
    <row r="28" customFormat="false" ht="15" hidden="false" customHeight="false" outlineLevel="0" collapsed="false">
      <c r="A28" s="5" t="s">
        <v>559</v>
      </c>
      <c r="B28" s="5" t="s">
        <v>255</v>
      </c>
      <c r="C28" s="5" t="s">
        <v>186</v>
      </c>
      <c r="D28" s="5" t="s">
        <v>256</v>
      </c>
      <c r="E28" s="5" t="s">
        <v>188</v>
      </c>
      <c r="F28" s="21" t="n">
        <v>59.3</v>
      </c>
      <c r="G28" s="21" t="n">
        <v>6</v>
      </c>
      <c r="H28" s="21" t="n">
        <v>27</v>
      </c>
      <c r="I28" s="21" t="n">
        <v>72</v>
      </c>
      <c r="J28" s="22" t="n">
        <f aca="false">F28*G28</f>
        <v>355.8</v>
      </c>
      <c r="K28" s="22" t="n">
        <f aca="false">F28*H28</f>
        <v>1601.1</v>
      </c>
      <c r="L28" s="22" t="n">
        <f aca="false">F28*I28</f>
        <v>4269.6</v>
      </c>
      <c r="M28" s="5" t="s">
        <v>257</v>
      </c>
    </row>
    <row r="29" customFormat="false" ht="15" hidden="false" customHeight="false" outlineLevel="0" collapsed="false">
      <c r="A29" s="5" t="s">
        <v>559</v>
      </c>
      <c r="B29" s="5" t="s">
        <v>258</v>
      </c>
      <c r="C29" s="5" t="s">
        <v>186</v>
      </c>
      <c r="D29" s="5" t="s">
        <v>259</v>
      </c>
      <c r="E29" s="5" t="s">
        <v>188</v>
      </c>
      <c r="F29" s="21" t="n">
        <v>58.19</v>
      </c>
      <c r="G29" s="21" t="n">
        <v>20</v>
      </c>
      <c r="H29" s="21" t="n">
        <v>90</v>
      </c>
      <c r="I29" s="21" t="n">
        <v>240</v>
      </c>
      <c r="J29" s="22" t="n">
        <f aca="false">F29*G29</f>
        <v>1163.8</v>
      </c>
      <c r="K29" s="22" t="n">
        <f aca="false">F29*H29</f>
        <v>5237.1</v>
      </c>
      <c r="L29" s="22" t="n">
        <f aca="false">F29*I29</f>
        <v>13965.6</v>
      </c>
      <c r="M29" s="5" t="s">
        <v>260</v>
      </c>
    </row>
    <row r="30" customFormat="false" ht="15" hidden="false" customHeight="false" outlineLevel="0" collapsed="false">
      <c r="A30" s="5" t="s">
        <v>559</v>
      </c>
      <c r="B30" s="5" t="s">
        <v>261</v>
      </c>
      <c r="C30" s="5" t="s">
        <v>186</v>
      </c>
      <c r="D30" s="5" t="s">
        <v>262</v>
      </c>
      <c r="E30" s="5" t="s">
        <v>188</v>
      </c>
      <c r="F30" s="21" t="n">
        <v>50.14</v>
      </c>
      <c r="G30" s="21" t="n">
        <v>20</v>
      </c>
      <c r="H30" s="21" t="n">
        <v>90</v>
      </c>
      <c r="I30" s="21" t="n">
        <v>240</v>
      </c>
      <c r="J30" s="22" t="n">
        <f aca="false">F30*G30</f>
        <v>1002.8</v>
      </c>
      <c r="K30" s="22" t="n">
        <f aca="false">F30*H30</f>
        <v>4512.6</v>
      </c>
      <c r="L30" s="22" t="n">
        <f aca="false">F30*I30</f>
        <v>12033.6</v>
      </c>
      <c r="M30" s="5" t="s">
        <v>263</v>
      </c>
    </row>
    <row r="31" customFormat="false" ht="15" hidden="false" customHeight="false" outlineLevel="0" collapsed="false">
      <c r="A31" s="5" t="s">
        <v>560</v>
      </c>
      <c r="B31" s="5" t="s">
        <v>265</v>
      </c>
      <c r="C31" s="5" t="s">
        <v>186</v>
      </c>
      <c r="D31" s="5" t="s">
        <v>266</v>
      </c>
      <c r="E31" s="5" t="s">
        <v>188</v>
      </c>
      <c r="F31" s="21" t="n">
        <v>12.33</v>
      </c>
      <c r="G31" s="21" t="n">
        <v>600</v>
      </c>
      <c r="H31" s="21" t="n">
        <v>900</v>
      </c>
      <c r="I31" s="21" t="n">
        <v>1200</v>
      </c>
      <c r="J31" s="22" t="n">
        <f aca="false">F31*G31</f>
        <v>7398</v>
      </c>
      <c r="K31" s="22" t="n">
        <f aca="false">F31*H31</f>
        <v>11097</v>
      </c>
      <c r="L31" s="22" t="n">
        <f aca="false">F31*I31</f>
        <v>14796</v>
      </c>
      <c r="M31" s="5" t="s">
        <v>267</v>
      </c>
    </row>
    <row r="32" customFormat="false" ht="15" hidden="false" customHeight="false" outlineLevel="0" collapsed="false">
      <c r="A32" s="5" t="s">
        <v>560</v>
      </c>
      <c r="B32" s="5" t="s">
        <v>268</v>
      </c>
      <c r="C32" s="5" t="s">
        <v>186</v>
      </c>
      <c r="D32" s="5" t="s">
        <v>269</v>
      </c>
      <c r="E32" s="5" t="s">
        <v>188</v>
      </c>
      <c r="F32" s="21" t="n">
        <v>15.25</v>
      </c>
      <c r="G32" s="21" t="n">
        <v>60</v>
      </c>
      <c r="H32" s="21" t="n">
        <v>90</v>
      </c>
      <c r="I32" s="21" t="n">
        <v>120</v>
      </c>
      <c r="J32" s="22" t="n">
        <f aca="false">F32*G32</f>
        <v>915</v>
      </c>
      <c r="K32" s="22" t="n">
        <f aca="false">F32*H32</f>
        <v>1372.5</v>
      </c>
      <c r="L32" s="22" t="n">
        <f aca="false">F32*I32</f>
        <v>1830</v>
      </c>
      <c r="M32" s="5" t="s">
        <v>270</v>
      </c>
    </row>
    <row r="33" customFormat="false" ht="15" hidden="false" customHeight="false" outlineLevel="0" collapsed="false">
      <c r="A33" s="5" t="s">
        <v>374</v>
      </c>
      <c r="B33" s="5" t="s">
        <v>272</v>
      </c>
      <c r="C33" s="5" t="s">
        <v>186</v>
      </c>
      <c r="D33" s="5" t="s">
        <v>273</v>
      </c>
      <c r="E33" s="5" t="s">
        <v>188</v>
      </c>
      <c r="F33" s="21" t="n">
        <v>223.25</v>
      </c>
      <c r="G33" s="21" t="n">
        <v>3</v>
      </c>
      <c r="H33" s="21" t="n">
        <v>13.5</v>
      </c>
      <c r="I33" s="21" t="n">
        <v>36</v>
      </c>
      <c r="J33" s="22" t="n">
        <f aca="false">F33*G33</f>
        <v>669.75</v>
      </c>
      <c r="K33" s="22" t="n">
        <f aca="false">F33*H33</f>
        <v>3013.875</v>
      </c>
      <c r="L33" s="22" t="n">
        <f aca="false">F33*I33</f>
        <v>8037</v>
      </c>
      <c r="M33" s="5" t="s">
        <v>274</v>
      </c>
    </row>
    <row r="34" customFormat="false" ht="15" hidden="false" customHeight="false" outlineLevel="0" collapsed="false">
      <c r="A34" s="5" t="s">
        <v>374</v>
      </c>
      <c r="B34" s="5" t="s">
        <v>275</v>
      </c>
      <c r="C34" s="5" t="s">
        <v>186</v>
      </c>
      <c r="D34" s="5" t="s">
        <v>276</v>
      </c>
      <c r="E34" s="5" t="s">
        <v>277</v>
      </c>
      <c r="F34" s="21" t="n">
        <v>1179.17</v>
      </c>
      <c r="G34" s="21" t="n">
        <v>1.33</v>
      </c>
      <c r="H34" s="21" t="n">
        <v>6</v>
      </c>
      <c r="I34" s="21" t="n">
        <v>16</v>
      </c>
      <c r="J34" s="22" t="n">
        <f aca="false">F34*G34</f>
        <v>1568.2961</v>
      </c>
      <c r="K34" s="22" t="n">
        <f aca="false">F34*H34</f>
        <v>7075.02</v>
      </c>
      <c r="L34" s="22" t="n">
        <f aca="false">F34*I34</f>
        <v>18866.72</v>
      </c>
      <c r="M34" s="5" t="s">
        <v>278</v>
      </c>
    </row>
    <row r="35" customFormat="false" ht="15" hidden="false" customHeight="false" outlineLevel="0" collapsed="false">
      <c r="A35" s="5" t="s">
        <v>561</v>
      </c>
      <c r="B35" s="5" t="s">
        <v>280</v>
      </c>
      <c r="C35" s="5" t="s">
        <v>186</v>
      </c>
      <c r="D35" s="5" t="s">
        <v>281</v>
      </c>
      <c r="E35" s="5" t="s">
        <v>277</v>
      </c>
      <c r="F35" s="21" t="n">
        <v>53.69</v>
      </c>
      <c r="G35" s="21" t="n">
        <v>6.67</v>
      </c>
      <c r="H35" s="21" t="n">
        <v>25</v>
      </c>
      <c r="I35" s="21" t="n">
        <v>66.67</v>
      </c>
      <c r="J35" s="22" t="n">
        <f aca="false">F35*G35</f>
        <v>358.1123</v>
      </c>
      <c r="K35" s="22" t="n">
        <f aca="false">F35*H35</f>
        <v>1342.25</v>
      </c>
      <c r="L35" s="22" t="n">
        <f aca="false">F35*I35</f>
        <v>3579.5123</v>
      </c>
      <c r="M35" s="5" t="s">
        <v>282</v>
      </c>
    </row>
    <row r="36" customFormat="false" ht="15" hidden="false" customHeight="false" outlineLevel="0" collapsed="false">
      <c r="A36" s="5" t="s">
        <v>561</v>
      </c>
      <c r="B36" s="5" t="s">
        <v>283</v>
      </c>
      <c r="C36" s="5" t="s">
        <v>186</v>
      </c>
      <c r="D36" s="5" t="s">
        <v>284</v>
      </c>
      <c r="E36" s="5" t="s">
        <v>277</v>
      </c>
      <c r="F36" s="21" t="n">
        <v>30.86</v>
      </c>
      <c r="G36" s="21" t="n">
        <v>5</v>
      </c>
      <c r="H36" s="21" t="n">
        <v>18.75</v>
      </c>
      <c r="I36" s="21" t="n">
        <v>50</v>
      </c>
      <c r="J36" s="22" t="n">
        <f aca="false">F36*G36</f>
        <v>154.3</v>
      </c>
      <c r="K36" s="22" t="n">
        <f aca="false">F36*H36</f>
        <v>578.625</v>
      </c>
      <c r="L36" s="22" t="n">
        <f aca="false">F36*I36</f>
        <v>1543</v>
      </c>
      <c r="M36" s="5" t="s">
        <v>285</v>
      </c>
    </row>
    <row r="37" customFormat="false" ht="15" hidden="false" customHeight="false" outlineLevel="0" collapsed="false">
      <c r="A37" s="5" t="s">
        <v>561</v>
      </c>
      <c r="B37" s="5" t="s">
        <v>286</v>
      </c>
      <c r="C37" s="5" t="s">
        <v>186</v>
      </c>
      <c r="D37" s="5" t="s">
        <v>287</v>
      </c>
      <c r="E37" s="5" t="s">
        <v>194</v>
      </c>
      <c r="F37" s="21" t="n">
        <v>5.48</v>
      </c>
      <c r="G37" s="21" t="n">
        <v>480</v>
      </c>
      <c r="H37" s="21" t="n">
        <v>1800</v>
      </c>
      <c r="I37" s="21" t="n">
        <v>4800</v>
      </c>
      <c r="J37" s="22" t="n">
        <f aca="false">F37*G37</f>
        <v>2630.4</v>
      </c>
      <c r="K37" s="22" t="n">
        <f aca="false">F37*H37</f>
        <v>9864</v>
      </c>
      <c r="L37" s="22" t="n">
        <f aca="false">F37*I37</f>
        <v>26304</v>
      </c>
      <c r="M37" s="5" t="s">
        <v>288</v>
      </c>
    </row>
    <row r="38" customFormat="false" ht="15" hidden="false" customHeight="false" outlineLevel="0" collapsed="false">
      <c r="A38" s="5" t="s">
        <v>561</v>
      </c>
      <c r="B38" s="5" t="s">
        <v>289</v>
      </c>
      <c r="C38" s="5" t="s">
        <v>186</v>
      </c>
      <c r="D38" s="5" t="s">
        <v>290</v>
      </c>
      <c r="E38" s="5" t="s">
        <v>194</v>
      </c>
      <c r="F38" s="21" t="n">
        <v>11.2</v>
      </c>
      <c r="G38" s="21" t="n">
        <v>160</v>
      </c>
      <c r="H38" s="21" t="n">
        <v>600</v>
      </c>
      <c r="I38" s="21" t="n">
        <v>1600</v>
      </c>
      <c r="J38" s="22" t="n">
        <f aca="false">F38*G38</f>
        <v>1792</v>
      </c>
      <c r="K38" s="22" t="n">
        <f aca="false">F38*H38</f>
        <v>6720</v>
      </c>
      <c r="L38" s="22" t="n">
        <f aca="false">F38*I38</f>
        <v>17920</v>
      </c>
      <c r="M38" s="5" t="s">
        <v>291</v>
      </c>
    </row>
    <row r="39" customFormat="false" ht="15" hidden="false" customHeight="false" outlineLevel="0" collapsed="false">
      <c r="A39" s="5" t="s">
        <v>561</v>
      </c>
      <c r="B39" s="5" t="s">
        <v>292</v>
      </c>
      <c r="C39" s="5" t="s">
        <v>186</v>
      </c>
      <c r="D39" s="5" t="s">
        <v>293</v>
      </c>
      <c r="E39" s="5" t="s">
        <v>277</v>
      </c>
      <c r="F39" s="21" t="n">
        <v>623.29</v>
      </c>
      <c r="G39" s="21" t="n">
        <v>1</v>
      </c>
      <c r="H39" s="21" t="n">
        <v>1</v>
      </c>
      <c r="I39" s="21" t="n">
        <v>2.67</v>
      </c>
      <c r="J39" s="22" t="n">
        <f aca="false">F39*G39</f>
        <v>623.29</v>
      </c>
      <c r="K39" s="22" t="n">
        <f aca="false">F39*H39</f>
        <v>623.29</v>
      </c>
      <c r="L39" s="22" t="n">
        <f aca="false">F39*I39</f>
        <v>1664.1843</v>
      </c>
      <c r="M39" s="5" t="s">
        <v>294</v>
      </c>
    </row>
    <row r="40" customFormat="false" ht="15" hidden="false" customHeight="false" outlineLevel="0" collapsed="false">
      <c r="A40" s="5" t="s">
        <v>561</v>
      </c>
      <c r="B40" s="5" t="s">
        <v>295</v>
      </c>
      <c r="C40" s="5" t="s">
        <v>186</v>
      </c>
      <c r="D40" s="5" t="s">
        <v>296</v>
      </c>
      <c r="E40" s="5" t="s">
        <v>277</v>
      </c>
      <c r="F40" s="21" t="n">
        <v>630.3</v>
      </c>
      <c r="G40" s="21" t="n">
        <v>1</v>
      </c>
      <c r="H40" s="21" t="n">
        <v>3.75</v>
      </c>
      <c r="I40" s="21" t="n">
        <v>10</v>
      </c>
      <c r="J40" s="22" t="n">
        <f aca="false">F40*G40</f>
        <v>630.3</v>
      </c>
      <c r="K40" s="22" t="n">
        <f aca="false">F40*H40</f>
        <v>2363.625</v>
      </c>
      <c r="L40" s="22" t="n">
        <f aca="false">F40*I40</f>
        <v>6303</v>
      </c>
      <c r="M40" s="5" t="s">
        <v>297</v>
      </c>
    </row>
    <row r="41" customFormat="false" ht="15" hidden="false" customHeight="false" outlineLevel="0" collapsed="false">
      <c r="A41" s="5" t="s">
        <v>561</v>
      </c>
      <c r="B41" s="5" t="s">
        <v>298</v>
      </c>
      <c r="C41" s="5" t="s">
        <v>186</v>
      </c>
      <c r="D41" s="5" t="s">
        <v>299</v>
      </c>
      <c r="E41" s="5" t="s">
        <v>277</v>
      </c>
      <c r="F41" s="21" t="n">
        <v>368.02</v>
      </c>
      <c r="G41" s="21" t="n">
        <v>1</v>
      </c>
      <c r="H41" s="21" t="n">
        <v>3.75</v>
      </c>
      <c r="I41" s="21" t="n">
        <v>10</v>
      </c>
      <c r="J41" s="22" t="n">
        <f aca="false">F41*G41</f>
        <v>368.02</v>
      </c>
      <c r="K41" s="22" t="n">
        <f aca="false">F41*H41</f>
        <v>1380.075</v>
      </c>
      <c r="L41" s="22" t="n">
        <f aca="false">F41*I41</f>
        <v>3680.2</v>
      </c>
      <c r="M41" s="5" t="s">
        <v>300</v>
      </c>
    </row>
    <row r="42" customFormat="false" ht="15" hidden="false" customHeight="false" outlineLevel="0" collapsed="false">
      <c r="A42" s="5" t="s">
        <v>561</v>
      </c>
      <c r="B42" s="5" t="s">
        <v>301</v>
      </c>
      <c r="C42" s="5" t="s">
        <v>186</v>
      </c>
      <c r="D42" s="5" t="s">
        <v>302</v>
      </c>
      <c r="E42" s="5" t="s">
        <v>194</v>
      </c>
      <c r="F42" s="21" t="n">
        <v>43.26</v>
      </c>
      <c r="G42" s="21" t="n">
        <v>12</v>
      </c>
      <c r="H42" s="21" t="n">
        <v>45</v>
      </c>
      <c r="I42" s="21" t="n">
        <v>120</v>
      </c>
      <c r="J42" s="22" t="n">
        <f aca="false">F42*G42</f>
        <v>519.12</v>
      </c>
      <c r="K42" s="22" t="n">
        <f aca="false">F42*H42</f>
        <v>1946.7</v>
      </c>
      <c r="L42" s="22" t="n">
        <f aca="false">F42*I42</f>
        <v>5191.2</v>
      </c>
      <c r="M42" s="5" t="s">
        <v>303</v>
      </c>
    </row>
    <row r="43" customFormat="false" ht="15" hidden="false" customHeight="false" outlineLevel="0" collapsed="false">
      <c r="A43" s="5" t="s">
        <v>562</v>
      </c>
      <c r="B43" s="5" t="s">
        <v>305</v>
      </c>
      <c r="C43" s="5" t="s">
        <v>186</v>
      </c>
      <c r="D43" s="5" t="s">
        <v>306</v>
      </c>
      <c r="E43" s="5" t="s">
        <v>277</v>
      </c>
      <c r="F43" s="21" t="n">
        <v>288.1</v>
      </c>
      <c r="G43" s="21" t="n">
        <v>1.33</v>
      </c>
      <c r="H43" s="21" t="n">
        <v>2</v>
      </c>
      <c r="I43" s="21" t="n">
        <v>2.67</v>
      </c>
      <c r="J43" s="22" t="n">
        <f aca="false">F43*G43</f>
        <v>383.173</v>
      </c>
      <c r="K43" s="22" t="n">
        <f aca="false">F43*H43</f>
        <v>576.2</v>
      </c>
      <c r="L43" s="22" t="n">
        <f aca="false">F43*I43</f>
        <v>769.227</v>
      </c>
      <c r="M43" s="5" t="s">
        <v>307</v>
      </c>
    </row>
    <row r="44" customFormat="false" ht="15" hidden="false" customHeight="false" outlineLevel="0" collapsed="false">
      <c r="A44" s="5" t="s">
        <v>562</v>
      </c>
      <c r="B44" s="5" t="s">
        <v>308</v>
      </c>
      <c r="C44" s="5" t="s">
        <v>186</v>
      </c>
      <c r="D44" s="5" t="s">
        <v>309</v>
      </c>
      <c r="E44" s="5" t="s">
        <v>277</v>
      </c>
      <c r="F44" s="21" t="n">
        <v>17.96</v>
      </c>
      <c r="G44" s="21" t="n">
        <v>4</v>
      </c>
      <c r="H44" s="21" t="n">
        <v>6</v>
      </c>
      <c r="I44" s="21" t="n">
        <v>8</v>
      </c>
      <c r="J44" s="22" t="n">
        <f aca="false">F44*G44</f>
        <v>71.84</v>
      </c>
      <c r="K44" s="22" t="n">
        <f aca="false">F44*H44</f>
        <v>107.76</v>
      </c>
      <c r="L44" s="22" t="n">
        <f aca="false">F44*I44</f>
        <v>143.68</v>
      </c>
      <c r="M44" s="5" t="s">
        <v>310</v>
      </c>
    </row>
    <row r="45" customFormat="false" ht="15" hidden="false" customHeight="false" outlineLevel="0" collapsed="false">
      <c r="A45" s="5" t="s">
        <v>562</v>
      </c>
      <c r="B45" s="5" t="s">
        <v>311</v>
      </c>
      <c r="C45" s="5" t="s">
        <v>192</v>
      </c>
      <c r="D45" s="5" t="s">
        <v>312</v>
      </c>
      <c r="E45" s="5" t="s">
        <v>277</v>
      </c>
      <c r="F45" s="21" t="n">
        <v>20.47</v>
      </c>
      <c r="G45" s="21" t="n">
        <v>4</v>
      </c>
      <c r="H45" s="21" t="n">
        <v>6</v>
      </c>
      <c r="I45" s="21" t="n">
        <v>8</v>
      </c>
      <c r="J45" s="22" t="n">
        <f aca="false">F45*G45</f>
        <v>81.88</v>
      </c>
      <c r="K45" s="22" t="n">
        <f aca="false">F45*H45</f>
        <v>122.82</v>
      </c>
      <c r="L45" s="22" t="n">
        <f aca="false">F45*I45</f>
        <v>163.76</v>
      </c>
      <c r="M45" s="5" t="s">
        <v>313</v>
      </c>
    </row>
    <row r="46" customFormat="false" ht="15" hidden="false" customHeight="false" outlineLevel="0" collapsed="false">
      <c r="A46" s="5" t="s">
        <v>563</v>
      </c>
      <c r="B46" s="5" t="s">
        <v>315</v>
      </c>
      <c r="C46" s="5" t="s">
        <v>186</v>
      </c>
      <c r="D46" s="5" t="s">
        <v>316</v>
      </c>
      <c r="E46" s="5" t="s">
        <v>317</v>
      </c>
      <c r="F46" s="21" t="n">
        <v>9.88</v>
      </c>
      <c r="G46" s="21" t="n">
        <v>10</v>
      </c>
      <c r="H46" s="21" t="n">
        <v>15</v>
      </c>
      <c r="I46" s="21" t="n">
        <v>20</v>
      </c>
      <c r="J46" s="22" t="n">
        <f aca="false">F46*G46</f>
        <v>98.8</v>
      </c>
      <c r="K46" s="22" t="n">
        <f aca="false">F46*H46</f>
        <v>148.2</v>
      </c>
      <c r="L46" s="22" t="n">
        <f aca="false">F46*I46</f>
        <v>197.6</v>
      </c>
      <c r="M46" s="5" t="s">
        <v>318</v>
      </c>
    </row>
    <row r="47" customFormat="false" ht="15" hidden="false" customHeight="false" outlineLevel="0" collapsed="false">
      <c r="A47" s="5" t="s">
        <v>563</v>
      </c>
      <c r="B47" s="5" t="s">
        <v>319</v>
      </c>
      <c r="C47" s="5" t="s">
        <v>186</v>
      </c>
      <c r="D47" s="5" t="s">
        <v>320</v>
      </c>
      <c r="E47" s="5" t="s">
        <v>321</v>
      </c>
      <c r="F47" s="21" t="n">
        <v>2.83</v>
      </c>
      <c r="G47" s="21" t="n">
        <v>100</v>
      </c>
      <c r="H47" s="21" t="n">
        <v>150</v>
      </c>
      <c r="I47" s="21" t="n">
        <v>200</v>
      </c>
      <c r="J47" s="22" t="n">
        <f aca="false">F47*G47</f>
        <v>283</v>
      </c>
      <c r="K47" s="22" t="n">
        <f aca="false">F47*H47</f>
        <v>424.5</v>
      </c>
      <c r="L47" s="22" t="n">
        <f aca="false">F47*I47</f>
        <v>566</v>
      </c>
      <c r="M47" s="5" t="s">
        <v>322</v>
      </c>
    </row>
    <row r="48" customFormat="false" ht="15" hidden="false" customHeight="false" outlineLevel="0" collapsed="false">
      <c r="I48" s="7" t="s">
        <v>323</v>
      </c>
      <c r="J48" s="23" t="n">
        <f aca="false">SUM(J16:J47)</f>
        <v>34227.7214</v>
      </c>
      <c r="K48" s="23" t="n">
        <f aca="false">SUM(K16:K47)</f>
        <v>103659.65</v>
      </c>
      <c r="L48" s="23" t="n">
        <f aca="false">SUM(L16:L47)</f>
        <v>253413.9436</v>
      </c>
    </row>
    <row r="49" customFormat="false" ht="15" hidden="false" customHeight="false" outlineLevel="0" collapsed="false">
      <c r="I49" s="7" t="s">
        <v>324</v>
      </c>
      <c r="J49" s="24" t="n">
        <f aca="false">PARAMETROS!$B$6</f>
        <v>0.2034</v>
      </c>
      <c r="K49" s="24" t="n">
        <f aca="false">PARAMETROS!$C$6</f>
        <v>0.2212</v>
      </c>
      <c r="L49" s="24" t="n">
        <f aca="false">PARAMETROS!$D$6</f>
        <v>0.25</v>
      </c>
    </row>
    <row r="50" customFormat="false" ht="15" hidden="false" customHeight="false" outlineLevel="0" collapsed="false">
      <c r="I50" s="7" t="s">
        <v>325</v>
      </c>
      <c r="J50" s="24" t="n">
        <f aca="false">PARAMETROS!$B$8</f>
        <v>0.05</v>
      </c>
      <c r="K50" s="24" t="n">
        <f aca="false">PARAMETROS!$C$8</f>
        <v>0.1</v>
      </c>
      <c r="L50" s="24" t="n">
        <f aca="false">PARAMETROS!$D$8</f>
        <v>0.15</v>
      </c>
    </row>
    <row r="51" customFormat="false" ht="15" hidden="false" customHeight="false" outlineLevel="0" collapsed="false">
      <c r="I51" s="7" t="s">
        <v>155</v>
      </c>
      <c r="J51" s="25" t="n">
        <f aca="false">PARAMETROS!$B$9</f>
        <v>1</v>
      </c>
      <c r="K51" s="25" t="n">
        <f aca="false">PARAMETROS!$C$9</f>
        <v>1</v>
      </c>
      <c r="L51" s="25" t="n">
        <f aca="false">PARAMETROS!$D$9</f>
        <v>1.1</v>
      </c>
    </row>
    <row r="52" customFormat="false" ht="15" hidden="false" customHeight="false" outlineLevel="0" collapsed="false">
      <c r="I52" s="7" t="s">
        <v>326</v>
      </c>
      <c r="J52" s="8" t="n">
        <f aca="false">J48*(1+J49)*(1+J50)*J51</f>
        <v>43249.121929398</v>
      </c>
      <c r="K52" s="8" t="n">
        <f aca="false">K48*(1+K49)*(1+K50)*K51</f>
        <v>139248.081038</v>
      </c>
      <c r="L52" s="8" t="n">
        <f aca="false">L48*(1+L49)*(1+L50)*L51</f>
        <v>400710.7983175</v>
      </c>
    </row>
    <row r="54" customFormat="false" ht="15" hidden="false" customHeight="false" outlineLevel="0" collapsed="false">
      <c r="A54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715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75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73</v>
      </c>
    </row>
    <row r="7" customFormat="false" ht="15" hidden="false" customHeight="false" outlineLevel="0" collapsed="false">
      <c r="A7" s="7" t="s">
        <v>8</v>
      </c>
      <c r="B7" s="10" t="s">
        <v>18</v>
      </c>
    </row>
    <row r="8" customFormat="false" ht="15" hidden="false" customHeight="false" outlineLevel="0" collapsed="false">
      <c r="A8" s="7" t="s">
        <v>160</v>
      </c>
      <c r="B8" s="10" t="s">
        <v>716</v>
      </c>
    </row>
    <row r="9" customFormat="false" ht="15" hidden="false" customHeight="false" outlineLevel="0" collapsed="false">
      <c r="A9" s="7" t="s">
        <v>9</v>
      </c>
      <c r="B9" s="10" t="s">
        <v>46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717</v>
      </c>
    </row>
    <row r="13" customFormat="false" ht="15" hidden="false" customHeight="false" outlineLevel="0" collapsed="false">
      <c r="B13" s="20" t="s">
        <v>718</v>
      </c>
    </row>
    <row r="14" customFormat="false" ht="15" hidden="false" customHeight="false" outlineLevel="0" collapsed="false">
      <c r="B14" s="20" t="s">
        <v>556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218</v>
      </c>
    </row>
    <row r="18" customFormat="false" ht="15" hidden="false" customHeight="false" outlineLevel="0" collapsed="false">
      <c r="A18" s="5" t="s">
        <v>557</v>
      </c>
      <c r="B18" s="5" t="s">
        <v>220</v>
      </c>
      <c r="C18" s="5" t="s">
        <v>186</v>
      </c>
      <c r="D18" s="5" t="s">
        <v>221</v>
      </c>
      <c r="E18" s="5" t="s">
        <v>188</v>
      </c>
      <c r="F18" s="21" t="n">
        <v>4.43</v>
      </c>
      <c r="G18" s="21" t="n">
        <v>75</v>
      </c>
      <c r="H18" s="21" t="n">
        <v>312.5</v>
      </c>
      <c r="I18" s="21" t="n">
        <v>1000</v>
      </c>
      <c r="J18" s="22" t="n">
        <f aca="false">F18*G18</f>
        <v>332.25</v>
      </c>
      <c r="K18" s="22" t="n">
        <f aca="false">F18*H18</f>
        <v>1384.375</v>
      </c>
      <c r="L18" s="22" t="n">
        <f aca="false">F18*I18</f>
        <v>4430</v>
      </c>
      <c r="M18" s="5" t="s">
        <v>222</v>
      </c>
    </row>
    <row r="19" customFormat="false" ht="15" hidden="false" customHeight="false" outlineLevel="0" collapsed="false">
      <c r="A19" s="5" t="s">
        <v>557</v>
      </c>
      <c r="B19" s="5" t="s">
        <v>223</v>
      </c>
      <c r="C19" s="5" t="s">
        <v>186</v>
      </c>
      <c r="D19" s="5" t="s">
        <v>224</v>
      </c>
      <c r="E19" s="5" t="s">
        <v>188</v>
      </c>
      <c r="F19" s="21" t="n">
        <v>9.56</v>
      </c>
      <c r="G19" s="21" t="n">
        <v>37.5</v>
      </c>
      <c r="H19" s="21" t="n">
        <v>156.25</v>
      </c>
      <c r="I19" s="21" t="n">
        <v>500</v>
      </c>
      <c r="J19" s="22" t="n">
        <f aca="false">F19*G19</f>
        <v>358.5</v>
      </c>
      <c r="K19" s="22" t="n">
        <f aca="false">F19*H19</f>
        <v>1493.75</v>
      </c>
      <c r="L19" s="22" t="n">
        <f aca="false">F19*I19</f>
        <v>4780</v>
      </c>
      <c r="M19" s="5" t="s">
        <v>225</v>
      </c>
    </row>
    <row r="20" customFormat="false" ht="15" hidden="false" customHeight="false" outlineLevel="0" collapsed="false">
      <c r="A20" s="5" t="s">
        <v>557</v>
      </c>
      <c r="B20" s="5" t="s">
        <v>226</v>
      </c>
      <c r="C20" s="5" t="s">
        <v>186</v>
      </c>
      <c r="D20" s="5" t="s">
        <v>227</v>
      </c>
      <c r="E20" s="5" t="s">
        <v>188</v>
      </c>
      <c r="F20" s="21" t="n">
        <v>2.58</v>
      </c>
      <c r="G20" s="21" t="n">
        <v>60</v>
      </c>
      <c r="H20" s="21" t="n">
        <v>250</v>
      </c>
      <c r="I20" s="21" t="n">
        <v>800</v>
      </c>
      <c r="J20" s="22" t="n">
        <f aca="false">F20*G20</f>
        <v>154.8</v>
      </c>
      <c r="K20" s="22" t="n">
        <f aca="false">F20*H20</f>
        <v>645</v>
      </c>
      <c r="L20" s="22" t="n">
        <f aca="false">F20*I20</f>
        <v>2064</v>
      </c>
      <c r="M20" s="5" t="s">
        <v>228</v>
      </c>
    </row>
    <row r="21" customFormat="false" ht="15" hidden="false" customHeight="false" outlineLevel="0" collapsed="false">
      <c r="A21" s="5" t="s">
        <v>557</v>
      </c>
      <c r="B21" s="5" t="s">
        <v>229</v>
      </c>
      <c r="C21" s="5" t="s">
        <v>186</v>
      </c>
      <c r="D21" s="5" t="s">
        <v>230</v>
      </c>
      <c r="E21" s="5" t="s">
        <v>188</v>
      </c>
      <c r="F21" s="21" t="n">
        <v>10.04</v>
      </c>
      <c r="G21" s="21" t="n">
        <v>30</v>
      </c>
      <c r="H21" s="21" t="n">
        <v>150</v>
      </c>
      <c r="I21" s="21" t="n">
        <v>480</v>
      </c>
      <c r="J21" s="22" t="n">
        <f aca="false">F21*G21</f>
        <v>301.2</v>
      </c>
      <c r="K21" s="22" t="n">
        <f aca="false">F21*H21</f>
        <v>1506</v>
      </c>
      <c r="L21" s="22" t="n">
        <f aca="false">F21*I21</f>
        <v>4819.2</v>
      </c>
      <c r="M21" s="5" t="s">
        <v>231</v>
      </c>
    </row>
    <row r="22" customFormat="false" ht="15" hidden="false" customHeight="false" outlineLevel="0" collapsed="false">
      <c r="A22" s="5" t="s">
        <v>557</v>
      </c>
      <c r="B22" s="5" t="s">
        <v>232</v>
      </c>
      <c r="C22" s="5" t="s">
        <v>186</v>
      </c>
      <c r="D22" s="5" t="s">
        <v>233</v>
      </c>
      <c r="E22" s="5" t="s">
        <v>188</v>
      </c>
      <c r="F22" s="21" t="n">
        <v>28.42</v>
      </c>
      <c r="G22" s="21" t="n">
        <v>9</v>
      </c>
      <c r="H22" s="21" t="n">
        <v>45</v>
      </c>
      <c r="I22" s="21" t="n">
        <v>144</v>
      </c>
      <c r="J22" s="22" t="n">
        <f aca="false">F22*G22</f>
        <v>255.78</v>
      </c>
      <c r="K22" s="22" t="n">
        <f aca="false">F22*H22</f>
        <v>1278.9</v>
      </c>
      <c r="L22" s="22" t="n">
        <f aca="false">F22*I22</f>
        <v>4092.48</v>
      </c>
      <c r="M22" s="5" t="s">
        <v>234</v>
      </c>
    </row>
    <row r="23" customFormat="false" ht="15" hidden="false" customHeight="false" outlineLevel="0" collapsed="false">
      <c r="A23" s="5" t="s">
        <v>557</v>
      </c>
      <c r="B23" s="5" t="s">
        <v>235</v>
      </c>
      <c r="C23" s="5" t="s">
        <v>186</v>
      </c>
      <c r="D23" s="5" t="s">
        <v>236</v>
      </c>
      <c r="E23" s="5" t="s">
        <v>188</v>
      </c>
      <c r="F23" s="21" t="n">
        <v>30.78</v>
      </c>
      <c r="G23" s="21" t="n">
        <v>4.5</v>
      </c>
      <c r="H23" s="21" t="n">
        <v>22.5</v>
      </c>
      <c r="I23" s="21" t="n">
        <v>72</v>
      </c>
      <c r="J23" s="22" t="n">
        <f aca="false">F23*G23</f>
        <v>138.51</v>
      </c>
      <c r="K23" s="22" t="n">
        <f aca="false">F23*H23</f>
        <v>692.55</v>
      </c>
      <c r="L23" s="22" t="n">
        <f aca="false">F23*I23</f>
        <v>2216.16</v>
      </c>
      <c r="M23" s="5" t="s">
        <v>237</v>
      </c>
    </row>
    <row r="24" customFormat="false" ht="15" hidden="false" customHeight="false" outlineLevel="0" collapsed="false">
      <c r="A24" s="5" t="s">
        <v>558</v>
      </c>
      <c r="B24" s="5" t="s">
        <v>239</v>
      </c>
      <c r="C24" s="5" t="s">
        <v>186</v>
      </c>
      <c r="D24" s="5" t="s">
        <v>240</v>
      </c>
      <c r="E24" s="5" t="s">
        <v>188</v>
      </c>
      <c r="F24" s="21" t="n">
        <v>101.54</v>
      </c>
      <c r="G24" s="21" t="n">
        <v>37.5</v>
      </c>
      <c r="H24" s="21" t="n">
        <v>156.25</v>
      </c>
      <c r="I24" s="21" t="n">
        <v>500</v>
      </c>
      <c r="J24" s="22" t="n">
        <f aca="false">F24*G24</f>
        <v>3807.75</v>
      </c>
      <c r="K24" s="22" t="n">
        <f aca="false">F24*H24</f>
        <v>15865.625</v>
      </c>
      <c r="L24" s="22" t="n">
        <f aca="false">F24*I24</f>
        <v>50770</v>
      </c>
      <c r="M24" s="5" t="s">
        <v>241</v>
      </c>
    </row>
    <row r="25" customFormat="false" ht="15" hidden="false" customHeight="false" outlineLevel="0" collapsed="false">
      <c r="A25" s="5" t="s">
        <v>558</v>
      </c>
      <c r="B25" s="5" t="s">
        <v>242</v>
      </c>
      <c r="C25" s="5" t="s">
        <v>186</v>
      </c>
      <c r="D25" s="5" t="s">
        <v>243</v>
      </c>
      <c r="E25" s="5" t="s">
        <v>188</v>
      </c>
      <c r="F25" s="21" t="n">
        <v>42.42</v>
      </c>
      <c r="G25" s="21" t="n">
        <v>75</v>
      </c>
      <c r="H25" s="21" t="n">
        <v>312.5</v>
      </c>
      <c r="I25" s="21" t="n">
        <v>1000</v>
      </c>
      <c r="J25" s="22" t="n">
        <f aca="false">F25*G25</f>
        <v>3181.5</v>
      </c>
      <c r="K25" s="22" t="n">
        <f aca="false">F25*H25</f>
        <v>13256.25</v>
      </c>
      <c r="L25" s="22" t="n">
        <f aca="false">F25*I25</f>
        <v>42420</v>
      </c>
      <c r="M25" s="5" t="s">
        <v>244</v>
      </c>
    </row>
    <row r="26" customFormat="false" ht="15" hidden="false" customHeight="false" outlineLevel="0" collapsed="false">
      <c r="A26" s="5" t="s">
        <v>558</v>
      </c>
      <c r="B26" s="5" t="s">
        <v>245</v>
      </c>
      <c r="C26" s="5" t="s">
        <v>186</v>
      </c>
      <c r="D26" s="5" t="s">
        <v>246</v>
      </c>
      <c r="E26" s="5" t="s">
        <v>188</v>
      </c>
      <c r="F26" s="21" t="n">
        <v>73.2</v>
      </c>
      <c r="G26" s="21" t="n">
        <v>60</v>
      </c>
      <c r="H26" s="21" t="n">
        <v>250</v>
      </c>
      <c r="I26" s="21" t="n">
        <v>800</v>
      </c>
      <c r="J26" s="22" t="n">
        <f aca="false">F26*G26</f>
        <v>4392</v>
      </c>
      <c r="K26" s="22" t="n">
        <f aca="false">F26*H26</f>
        <v>18300</v>
      </c>
      <c r="L26" s="22" t="n">
        <f aca="false">F26*I26</f>
        <v>58560</v>
      </c>
      <c r="M26" s="5" t="s">
        <v>247</v>
      </c>
    </row>
    <row r="27" customFormat="false" ht="15" hidden="false" customHeight="false" outlineLevel="0" collapsed="false">
      <c r="A27" s="5" t="s">
        <v>559</v>
      </c>
      <c r="B27" s="5" t="s">
        <v>249</v>
      </c>
      <c r="C27" s="5" t="s">
        <v>186</v>
      </c>
      <c r="D27" s="5" t="s">
        <v>250</v>
      </c>
      <c r="E27" s="5" t="s">
        <v>188</v>
      </c>
      <c r="F27" s="21" t="n">
        <v>6.03</v>
      </c>
      <c r="G27" s="21" t="n">
        <v>72</v>
      </c>
      <c r="H27" s="21" t="n">
        <v>360</v>
      </c>
      <c r="I27" s="21" t="n">
        <v>1152</v>
      </c>
      <c r="J27" s="22" t="n">
        <f aca="false">F27*G27</f>
        <v>434.16</v>
      </c>
      <c r="K27" s="22" t="n">
        <f aca="false">F27*H27</f>
        <v>2170.8</v>
      </c>
      <c r="L27" s="22" t="n">
        <f aca="false">F27*I27</f>
        <v>6946.56</v>
      </c>
      <c r="M27" s="5" t="s">
        <v>251</v>
      </c>
    </row>
    <row r="28" customFormat="false" ht="15" hidden="false" customHeight="false" outlineLevel="0" collapsed="false">
      <c r="A28" s="5" t="s">
        <v>559</v>
      </c>
      <c r="B28" s="5" t="s">
        <v>252</v>
      </c>
      <c r="C28" s="5" t="s">
        <v>186</v>
      </c>
      <c r="D28" s="5" t="s">
        <v>253</v>
      </c>
      <c r="E28" s="5" t="s">
        <v>188</v>
      </c>
      <c r="F28" s="21" t="n">
        <v>31.79</v>
      </c>
      <c r="G28" s="21" t="n">
        <v>72</v>
      </c>
      <c r="H28" s="21" t="n">
        <v>360</v>
      </c>
      <c r="I28" s="21" t="n">
        <v>1152</v>
      </c>
      <c r="J28" s="22" t="n">
        <f aca="false">F28*G28</f>
        <v>2288.88</v>
      </c>
      <c r="K28" s="22" t="n">
        <f aca="false">F28*H28</f>
        <v>11444.4</v>
      </c>
      <c r="L28" s="22" t="n">
        <f aca="false">F28*I28</f>
        <v>36622.08</v>
      </c>
      <c r="M28" s="5" t="s">
        <v>254</v>
      </c>
    </row>
    <row r="29" customFormat="false" ht="15" hidden="false" customHeight="false" outlineLevel="0" collapsed="false">
      <c r="A29" s="5" t="s">
        <v>559</v>
      </c>
      <c r="B29" s="5" t="s">
        <v>255</v>
      </c>
      <c r="C29" s="5" t="s">
        <v>186</v>
      </c>
      <c r="D29" s="5" t="s">
        <v>256</v>
      </c>
      <c r="E29" s="5" t="s">
        <v>188</v>
      </c>
      <c r="F29" s="21" t="n">
        <v>59.3</v>
      </c>
      <c r="G29" s="21" t="n">
        <v>9</v>
      </c>
      <c r="H29" s="21" t="n">
        <v>45</v>
      </c>
      <c r="I29" s="21" t="n">
        <v>144</v>
      </c>
      <c r="J29" s="22" t="n">
        <f aca="false">F29*G29</f>
        <v>533.7</v>
      </c>
      <c r="K29" s="22" t="n">
        <f aca="false">F29*H29</f>
        <v>2668.5</v>
      </c>
      <c r="L29" s="22" t="n">
        <f aca="false">F29*I29</f>
        <v>8539.2</v>
      </c>
      <c r="M29" s="5" t="s">
        <v>257</v>
      </c>
    </row>
    <row r="30" customFormat="false" ht="15" hidden="false" customHeight="false" outlineLevel="0" collapsed="false">
      <c r="A30" s="5" t="s">
        <v>559</v>
      </c>
      <c r="B30" s="5" t="s">
        <v>258</v>
      </c>
      <c r="C30" s="5" t="s">
        <v>186</v>
      </c>
      <c r="D30" s="5" t="s">
        <v>259</v>
      </c>
      <c r="E30" s="5" t="s">
        <v>188</v>
      </c>
      <c r="F30" s="21" t="n">
        <v>58.19</v>
      </c>
      <c r="G30" s="21" t="n">
        <v>30</v>
      </c>
      <c r="H30" s="21" t="n">
        <v>150</v>
      </c>
      <c r="I30" s="21" t="n">
        <v>480</v>
      </c>
      <c r="J30" s="22" t="n">
        <f aca="false">F30*G30</f>
        <v>1745.7</v>
      </c>
      <c r="K30" s="22" t="n">
        <f aca="false">F30*H30</f>
        <v>8728.5</v>
      </c>
      <c r="L30" s="22" t="n">
        <f aca="false">F30*I30</f>
        <v>27931.2</v>
      </c>
      <c r="M30" s="5" t="s">
        <v>260</v>
      </c>
    </row>
    <row r="31" customFormat="false" ht="15" hidden="false" customHeight="false" outlineLevel="0" collapsed="false">
      <c r="A31" s="5" t="s">
        <v>559</v>
      </c>
      <c r="B31" s="5" t="s">
        <v>261</v>
      </c>
      <c r="C31" s="5" t="s">
        <v>186</v>
      </c>
      <c r="D31" s="5" t="s">
        <v>262</v>
      </c>
      <c r="E31" s="5" t="s">
        <v>188</v>
      </c>
      <c r="F31" s="21" t="n">
        <v>50.14</v>
      </c>
      <c r="G31" s="21" t="n">
        <v>30</v>
      </c>
      <c r="H31" s="21" t="n">
        <v>150</v>
      </c>
      <c r="I31" s="21" t="n">
        <v>480</v>
      </c>
      <c r="J31" s="22" t="n">
        <f aca="false">F31*G31</f>
        <v>1504.2</v>
      </c>
      <c r="K31" s="22" t="n">
        <f aca="false">F31*H31</f>
        <v>7521</v>
      </c>
      <c r="L31" s="22" t="n">
        <f aca="false">F31*I31</f>
        <v>24067.2</v>
      </c>
      <c r="M31" s="5" t="s">
        <v>263</v>
      </c>
    </row>
    <row r="32" customFormat="false" ht="15" hidden="false" customHeight="false" outlineLevel="0" collapsed="false">
      <c r="A32" s="5" t="s">
        <v>560</v>
      </c>
      <c r="B32" s="5" t="s">
        <v>265</v>
      </c>
      <c r="C32" s="5" t="s">
        <v>186</v>
      </c>
      <c r="D32" s="5" t="s">
        <v>266</v>
      </c>
      <c r="E32" s="5" t="s">
        <v>188</v>
      </c>
      <c r="F32" s="21" t="n">
        <v>12.33</v>
      </c>
      <c r="G32" s="21" t="n">
        <v>900</v>
      </c>
      <c r="H32" s="21" t="n">
        <v>1500</v>
      </c>
      <c r="I32" s="21" t="n">
        <v>2400</v>
      </c>
      <c r="J32" s="22" t="n">
        <f aca="false">F32*G32</f>
        <v>11097</v>
      </c>
      <c r="K32" s="22" t="n">
        <f aca="false">F32*H32</f>
        <v>18495</v>
      </c>
      <c r="L32" s="22" t="n">
        <f aca="false">F32*I32</f>
        <v>29592</v>
      </c>
      <c r="M32" s="5" t="s">
        <v>267</v>
      </c>
    </row>
    <row r="33" customFormat="false" ht="15" hidden="false" customHeight="false" outlineLevel="0" collapsed="false">
      <c r="A33" s="5" t="s">
        <v>560</v>
      </c>
      <c r="B33" s="5" t="s">
        <v>268</v>
      </c>
      <c r="C33" s="5" t="s">
        <v>186</v>
      </c>
      <c r="D33" s="5" t="s">
        <v>269</v>
      </c>
      <c r="E33" s="5" t="s">
        <v>188</v>
      </c>
      <c r="F33" s="21" t="n">
        <v>15.25</v>
      </c>
      <c r="G33" s="21" t="n">
        <v>90</v>
      </c>
      <c r="H33" s="21" t="n">
        <v>150</v>
      </c>
      <c r="I33" s="21" t="n">
        <v>240</v>
      </c>
      <c r="J33" s="22" t="n">
        <f aca="false">F33*G33</f>
        <v>1372.5</v>
      </c>
      <c r="K33" s="22" t="n">
        <f aca="false">F33*H33</f>
        <v>2287.5</v>
      </c>
      <c r="L33" s="22" t="n">
        <f aca="false">F33*I33</f>
        <v>3660</v>
      </c>
      <c r="M33" s="5" t="s">
        <v>270</v>
      </c>
    </row>
    <row r="34" customFormat="false" ht="15" hidden="false" customHeight="false" outlineLevel="0" collapsed="false">
      <c r="A34" s="5" t="s">
        <v>374</v>
      </c>
      <c r="B34" s="5" t="s">
        <v>272</v>
      </c>
      <c r="C34" s="5" t="s">
        <v>186</v>
      </c>
      <c r="D34" s="5" t="s">
        <v>273</v>
      </c>
      <c r="E34" s="5" t="s">
        <v>188</v>
      </c>
      <c r="F34" s="21" t="n">
        <v>223.25</v>
      </c>
      <c r="G34" s="21" t="n">
        <v>4.5</v>
      </c>
      <c r="H34" s="21" t="n">
        <v>22.5</v>
      </c>
      <c r="I34" s="21" t="n">
        <v>72</v>
      </c>
      <c r="J34" s="22" t="n">
        <f aca="false">F34*G34</f>
        <v>1004.625</v>
      </c>
      <c r="K34" s="22" t="n">
        <f aca="false">F34*H34</f>
        <v>5023.125</v>
      </c>
      <c r="L34" s="22" t="n">
        <f aca="false">F34*I34</f>
        <v>16074</v>
      </c>
      <c r="M34" s="5" t="s">
        <v>274</v>
      </c>
    </row>
    <row r="35" customFormat="false" ht="15" hidden="false" customHeight="false" outlineLevel="0" collapsed="false">
      <c r="A35" s="5" t="s">
        <v>374</v>
      </c>
      <c r="B35" s="5" t="s">
        <v>275</v>
      </c>
      <c r="C35" s="5" t="s">
        <v>186</v>
      </c>
      <c r="D35" s="5" t="s">
        <v>276</v>
      </c>
      <c r="E35" s="5" t="s">
        <v>277</v>
      </c>
      <c r="F35" s="21" t="n">
        <v>1179.17</v>
      </c>
      <c r="G35" s="21" t="n">
        <v>2</v>
      </c>
      <c r="H35" s="21" t="n">
        <v>10</v>
      </c>
      <c r="I35" s="21" t="n">
        <v>32</v>
      </c>
      <c r="J35" s="22" t="n">
        <f aca="false">F35*G35</f>
        <v>2358.34</v>
      </c>
      <c r="K35" s="22" t="n">
        <f aca="false">F35*H35</f>
        <v>11791.7</v>
      </c>
      <c r="L35" s="22" t="n">
        <f aca="false">F35*I35</f>
        <v>37733.44</v>
      </c>
      <c r="M35" s="5" t="s">
        <v>278</v>
      </c>
    </row>
    <row r="36" customFormat="false" ht="15" hidden="false" customHeight="false" outlineLevel="0" collapsed="false">
      <c r="A36" s="5" t="s">
        <v>561</v>
      </c>
      <c r="B36" s="5" t="s">
        <v>280</v>
      </c>
      <c r="C36" s="5" t="s">
        <v>186</v>
      </c>
      <c r="D36" s="5" t="s">
        <v>281</v>
      </c>
      <c r="E36" s="5" t="s">
        <v>277</v>
      </c>
      <c r="F36" s="21" t="n">
        <v>53.69</v>
      </c>
      <c r="G36" s="21" t="n">
        <v>10</v>
      </c>
      <c r="H36" s="21" t="n">
        <v>41.67</v>
      </c>
      <c r="I36" s="21" t="n">
        <v>133.33</v>
      </c>
      <c r="J36" s="22" t="n">
        <f aca="false">F36*G36</f>
        <v>536.9</v>
      </c>
      <c r="K36" s="22" t="n">
        <f aca="false">F36*H36</f>
        <v>2237.2623</v>
      </c>
      <c r="L36" s="22" t="n">
        <f aca="false">F36*I36</f>
        <v>7158.4877</v>
      </c>
      <c r="M36" s="5" t="s">
        <v>282</v>
      </c>
    </row>
    <row r="37" customFormat="false" ht="15" hidden="false" customHeight="false" outlineLevel="0" collapsed="false">
      <c r="A37" s="5" t="s">
        <v>561</v>
      </c>
      <c r="B37" s="5" t="s">
        <v>283</v>
      </c>
      <c r="C37" s="5" t="s">
        <v>186</v>
      </c>
      <c r="D37" s="5" t="s">
        <v>284</v>
      </c>
      <c r="E37" s="5" t="s">
        <v>277</v>
      </c>
      <c r="F37" s="21" t="n">
        <v>30.86</v>
      </c>
      <c r="G37" s="21" t="n">
        <v>7.5</v>
      </c>
      <c r="H37" s="21" t="n">
        <v>31.25</v>
      </c>
      <c r="I37" s="21" t="n">
        <v>100</v>
      </c>
      <c r="J37" s="22" t="n">
        <f aca="false">F37*G37</f>
        <v>231.45</v>
      </c>
      <c r="K37" s="22" t="n">
        <f aca="false">F37*H37</f>
        <v>964.375</v>
      </c>
      <c r="L37" s="22" t="n">
        <f aca="false">F37*I37</f>
        <v>3086</v>
      </c>
      <c r="M37" s="5" t="s">
        <v>285</v>
      </c>
    </row>
    <row r="38" customFormat="false" ht="15" hidden="false" customHeight="false" outlineLevel="0" collapsed="false">
      <c r="A38" s="5" t="s">
        <v>561</v>
      </c>
      <c r="B38" s="5" t="s">
        <v>286</v>
      </c>
      <c r="C38" s="5" t="s">
        <v>186</v>
      </c>
      <c r="D38" s="5" t="s">
        <v>287</v>
      </c>
      <c r="E38" s="5" t="s">
        <v>194</v>
      </c>
      <c r="F38" s="21" t="n">
        <v>5.48</v>
      </c>
      <c r="G38" s="21" t="n">
        <v>720</v>
      </c>
      <c r="H38" s="21" t="n">
        <v>3000</v>
      </c>
      <c r="I38" s="21" t="n">
        <v>9600</v>
      </c>
      <c r="J38" s="22" t="n">
        <f aca="false">F38*G38</f>
        <v>3945.6</v>
      </c>
      <c r="K38" s="22" t="n">
        <f aca="false">F38*H38</f>
        <v>16440</v>
      </c>
      <c r="L38" s="22" t="n">
        <f aca="false">F38*I38</f>
        <v>52608</v>
      </c>
      <c r="M38" s="5" t="s">
        <v>288</v>
      </c>
    </row>
    <row r="39" customFormat="false" ht="15" hidden="false" customHeight="false" outlineLevel="0" collapsed="false">
      <c r="A39" s="5" t="s">
        <v>561</v>
      </c>
      <c r="B39" s="5" t="s">
        <v>289</v>
      </c>
      <c r="C39" s="5" t="s">
        <v>186</v>
      </c>
      <c r="D39" s="5" t="s">
        <v>290</v>
      </c>
      <c r="E39" s="5" t="s">
        <v>194</v>
      </c>
      <c r="F39" s="21" t="n">
        <v>11.2</v>
      </c>
      <c r="G39" s="21" t="n">
        <v>240</v>
      </c>
      <c r="H39" s="21" t="n">
        <v>1000</v>
      </c>
      <c r="I39" s="21" t="n">
        <v>3200</v>
      </c>
      <c r="J39" s="22" t="n">
        <f aca="false">F39*G39</f>
        <v>2688</v>
      </c>
      <c r="K39" s="22" t="n">
        <f aca="false">F39*H39</f>
        <v>11200</v>
      </c>
      <c r="L39" s="22" t="n">
        <f aca="false">F39*I39</f>
        <v>35840</v>
      </c>
      <c r="M39" s="5" t="s">
        <v>291</v>
      </c>
    </row>
    <row r="40" customFormat="false" ht="15" hidden="false" customHeight="false" outlineLevel="0" collapsed="false">
      <c r="A40" s="5" t="s">
        <v>561</v>
      </c>
      <c r="B40" s="5" t="s">
        <v>292</v>
      </c>
      <c r="C40" s="5" t="s">
        <v>186</v>
      </c>
      <c r="D40" s="5" t="s">
        <v>293</v>
      </c>
      <c r="E40" s="5" t="s">
        <v>277</v>
      </c>
      <c r="F40" s="21" t="n">
        <v>623.29</v>
      </c>
      <c r="G40" s="21" t="n">
        <v>1</v>
      </c>
      <c r="H40" s="21" t="n">
        <v>1.67</v>
      </c>
      <c r="I40" s="21" t="n">
        <v>5.33</v>
      </c>
      <c r="J40" s="22" t="n">
        <f aca="false">F40*G40</f>
        <v>623.29</v>
      </c>
      <c r="K40" s="22" t="n">
        <f aca="false">F40*H40</f>
        <v>1040.8943</v>
      </c>
      <c r="L40" s="22" t="n">
        <f aca="false">F40*I40</f>
        <v>3322.1357</v>
      </c>
      <c r="M40" s="5" t="s">
        <v>294</v>
      </c>
    </row>
    <row r="41" customFormat="false" ht="15" hidden="false" customHeight="false" outlineLevel="0" collapsed="false">
      <c r="A41" s="5" t="s">
        <v>561</v>
      </c>
      <c r="B41" s="5" t="s">
        <v>295</v>
      </c>
      <c r="C41" s="5" t="s">
        <v>186</v>
      </c>
      <c r="D41" s="5" t="s">
        <v>296</v>
      </c>
      <c r="E41" s="5" t="s">
        <v>277</v>
      </c>
      <c r="F41" s="21" t="n">
        <v>630.3</v>
      </c>
      <c r="G41" s="21" t="n">
        <v>1.5</v>
      </c>
      <c r="H41" s="21" t="n">
        <v>6.25</v>
      </c>
      <c r="I41" s="21" t="n">
        <v>20</v>
      </c>
      <c r="J41" s="22" t="n">
        <f aca="false">F41*G41</f>
        <v>945.45</v>
      </c>
      <c r="K41" s="22" t="n">
        <f aca="false">F41*H41</f>
        <v>3939.375</v>
      </c>
      <c r="L41" s="22" t="n">
        <f aca="false">F41*I41</f>
        <v>12606</v>
      </c>
      <c r="M41" s="5" t="s">
        <v>297</v>
      </c>
    </row>
    <row r="42" customFormat="false" ht="15" hidden="false" customHeight="false" outlineLevel="0" collapsed="false">
      <c r="A42" s="5" t="s">
        <v>561</v>
      </c>
      <c r="B42" s="5" t="s">
        <v>298</v>
      </c>
      <c r="C42" s="5" t="s">
        <v>186</v>
      </c>
      <c r="D42" s="5" t="s">
        <v>299</v>
      </c>
      <c r="E42" s="5" t="s">
        <v>277</v>
      </c>
      <c r="F42" s="21" t="n">
        <v>368.02</v>
      </c>
      <c r="G42" s="21" t="n">
        <v>1.5</v>
      </c>
      <c r="H42" s="21" t="n">
        <v>6.25</v>
      </c>
      <c r="I42" s="21" t="n">
        <v>20</v>
      </c>
      <c r="J42" s="22" t="n">
        <f aca="false">F42*G42</f>
        <v>552.03</v>
      </c>
      <c r="K42" s="22" t="n">
        <f aca="false">F42*H42</f>
        <v>2300.125</v>
      </c>
      <c r="L42" s="22" t="n">
        <f aca="false">F42*I42</f>
        <v>7360.4</v>
      </c>
      <c r="M42" s="5" t="s">
        <v>300</v>
      </c>
    </row>
    <row r="43" customFormat="false" ht="15" hidden="false" customHeight="false" outlineLevel="0" collapsed="false">
      <c r="A43" s="5" t="s">
        <v>561</v>
      </c>
      <c r="B43" s="5" t="s">
        <v>301</v>
      </c>
      <c r="C43" s="5" t="s">
        <v>186</v>
      </c>
      <c r="D43" s="5" t="s">
        <v>302</v>
      </c>
      <c r="E43" s="5" t="s">
        <v>194</v>
      </c>
      <c r="F43" s="21" t="n">
        <v>43.26</v>
      </c>
      <c r="G43" s="21" t="n">
        <v>18</v>
      </c>
      <c r="H43" s="21" t="n">
        <v>75</v>
      </c>
      <c r="I43" s="21" t="n">
        <v>240</v>
      </c>
      <c r="J43" s="22" t="n">
        <f aca="false">F43*G43</f>
        <v>778.68</v>
      </c>
      <c r="K43" s="22" t="n">
        <f aca="false">F43*H43</f>
        <v>3244.5</v>
      </c>
      <c r="L43" s="22" t="n">
        <f aca="false">F43*I43</f>
        <v>10382.4</v>
      </c>
      <c r="M43" s="5" t="s">
        <v>303</v>
      </c>
    </row>
    <row r="44" customFormat="false" ht="15" hidden="false" customHeight="false" outlineLevel="0" collapsed="false">
      <c r="A44" s="5" t="s">
        <v>562</v>
      </c>
      <c r="B44" s="5" t="s">
        <v>305</v>
      </c>
      <c r="C44" s="5" t="s">
        <v>186</v>
      </c>
      <c r="D44" s="5" t="s">
        <v>306</v>
      </c>
      <c r="E44" s="5" t="s">
        <v>277</v>
      </c>
      <c r="F44" s="21" t="n">
        <v>288.1</v>
      </c>
      <c r="G44" s="21" t="n">
        <v>2</v>
      </c>
      <c r="H44" s="21" t="n">
        <v>3.33</v>
      </c>
      <c r="I44" s="21" t="n">
        <v>5.33</v>
      </c>
      <c r="J44" s="22" t="n">
        <f aca="false">F44*G44</f>
        <v>576.2</v>
      </c>
      <c r="K44" s="22" t="n">
        <f aca="false">F44*H44</f>
        <v>959.373</v>
      </c>
      <c r="L44" s="22" t="n">
        <f aca="false">F44*I44</f>
        <v>1535.573</v>
      </c>
      <c r="M44" s="5" t="s">
        <v>307</v>
      </c>
    </row>
    <row r="45" customFormat="false" ht="15" hidden="false" customHeight="false" outlineLevel="0" collapsed="false">
      <c r="A45" s="5" t="s">
        <v>562</v>
      </c>
      <c r="B45" s="5" t="s">
        <v>308</v>
      </c>
      <c r="C45" s="5" t="s">
        <v>186</v>
      </c>
      <c r="D45" s="5" t="s">
        <v>309</v>
      </c>
      <c r="E45" s="5" t="s">
        <v>277</v>
      </c>
      <c r="F45" s="21" t="n">
        <v>17.96</v>
      </c>
      <c r="G45" s="21" t="n">
        <v>6</v>
      </c>
      <c r="H45" s="21" t="n">
        <v>10</v>
      </c>
      <c r="I45" s="21" t="n">
        <v>16</v>
      </c>
      <c r="J45" s="22" t="n">
        <f aca="false">F45*G45</f>
        <v>107.76</v>
      </c>
      <c r="K45" s="22" t="n">
        <f aca="false">F45*H45</f>
        <v>179.6</v>
      </c>
      <c r="L45" s="22" t="n">
        <f aca="false">F45*I45</f>
        <v>287.36</v>
      </c>
      <c r="M45" s="5" t="s">
        <v>310</v>
      </c>
    </row>
    <row r="46" customFormat="false" ht="15" hidden="false" customHeight="false" outlineLevel="0" collapsed="false">
      <c r="A46" s="5" t="s">
        <v>562</v>
      </c>
      <c r="B46" s="5" t="s">
        <v>311</v>
      </c>
      <c r="C46" s="5" t="s">
        <v>192</v>
      </c>
      <c r="D46" s="5" t="s">
        <v>312</v>
      </c>
      <c r="E46" s="5" t="s">
        <v>277</v>
      </c>
      <c r="F46" s="21" t="n">
        <v>20.47</v>
      </c>
      <c r="G46" s="21" t="n">
        <v>6</v>
      </c>
      <c r="H46" s="21" t="n">
        <v>10</v>
      </c>
      <c r="I46" s="21" t="n">
        <v>16</v>
      </c>
      <c r="J46" s="22" t="n">
        <f aca="false">F46*G46</f>
        <v>122.82</v>
      </c>
      <c r="K46" s="22" t="n">
        <f aca="false">F46*H46</f>
        <v>204.7</v>
      </c>
      <c r="L46" s="22" t="n">
        <f aca="false">F46*I46</f>
        <v>327.52</v>
      </c>
      <c r="M46" s="5" t="s">
        <v>313</v>
      </c>
    </row>
    <row r="47" customFormat="false" ht="15" hidden="false" customHeight="false" outlineLevel="0" collapsed="false">
      <c r="A47" s="5" t="s">
        <v>563</v>
      </c>
      <c r="B47" s="5" t="s">
        <v>315</v>
      </c>
      <c r="C47" s="5" t="s">
        <v>186</v>
      </c>
      <c r="D47" s="5" t="s">
        <v>316</v>
      </c>
      <c r="E47" s="5" t="s">
        <v>317</v>
      </c>
      <c r="F47" s="21" t="n">
        <v>9.88</v>
      </c>
      <c r="G47" s="21" t="n">
        <v>15</v>
      </c>
      <c r="H47" s="21" t="n">
        <v>25</v>
      </c>
      <c r="I47" s="21" t="n">
        <v>40</v>
      </c>
      <c r="J47" s="22" t="n">
        <f aca="false">F47*G47</f>
        <v>148.2</v>
      </c>
      <c r="K47" s="22" t="n">
        <f aca="false">F47*H47</f>
        <v>247</v>
      </c>
      <c r="L47" s="22" t="n">
        <f aca="false">F47*I47</f>
        <v>395.2</v>
      </c>
      <c r="M47" s="5" t="s">
        <v>318</v>
      </c>
    </row>
    <row r="48" customFormat="false" ht="15" hidden="false" customHeight="false" outlineLevel="0" collapsed="false">
      <c r="A48" s="5" t="s">
        <v>563</v>
      </c>
      <c r="B48" s="5" t="s">
        <v>319</v>
      </c>
      <c r="C48" s="5" t="s">
        <v>186</v>
      </c>
      <c r="D48" s="5" t="s">
        <v>320</v>
      </c>
      <c r="E48" s="5" t="s">
        <v>321</v>
      </c>
      <c r="F48" s="21" t="n">
        <v>2.83</v>
      </c>
      <c r="G48" s="21" t="n">
        <v>150</v>
      </c>
      <c r="H48" s="21" t="n">
        <v>250</v>
      </c>
      <c r="I48" s="21" t="n">
        <v>400</v>
      </c>
      <c r="J48" s="22" t="n">
        <f aca="false">F48*G48</f>
        <v>424.5</v>
      </c>
      <c r="K48" s="22" t="n">
        <f aca="false">F48*H48</f>
        <v>707.5</v>
      </c>
      <c r="L48" s="22" t="n">
        <f aca="false">F48*I48</f>
        <v>1132</v>
      </c>
      <c r="M48" s="5" t="s">
        <v>322</v>
      </c>
    </row>
    <row r="49" customFormat="false" ht="15" hidden="false" customHeight="false" outlineLevel="0" collapsed="false">
      <c r="I49" s="7" t="s">
        <v>323</v>
      </c>
      <c r="J49" s="23" t="n">
        <f aca="false">SUM(J17:J48)</f>
        <v>49672.095</v>
      </c>
      <c r="K49" s="23" t="n">
        <f aca="false">SUM(K17:K48)</f>
        <v>170947.4996</v>
      </c>
      <c r="L49" s="23" t="n">
        <f aca="false">SUM(L17:L48)</f>
        <v>504088.4164</v>
      </c>
    </row>
    <row r="50" customFormat="false" ht="15" hidden="false" customHeight="false" outlineLevel="0" collapsed="false">
      <c r="I50" s="7" t="s">
        <v>324</v>
      </c>
      <c r="J50" s="24" t="n">
        <f aca="false">PARAMETROS!$B$6</f>
        <v>0.2034</v>
      </c>
      <c r="K50" s="24" t="n">
        <f aca="false">PARAMETROS!$C$6</f>
        <v>0.2212</v>
      </c>
      <c r="L50" s="24" t="n">
        <f aca="false">PARAMETROS!$D$6</f>
        <v>0.25</v>
      </c>
    </row>
    <row r="51" customFormat="false" ht="15" hidden="false" customHeight="false" outlineLevel="0" collapsed="false">
      <c r="I51" s="7" t="s">
        <v>325</v>
      </c>
      <c r="J51" s="24" t="n">
        <f aca="false">PARAMETROS!$B$8</f>
        <v>0.05</v>
      </c>
      <c r="K51" s="24" t="n">
        <f aca="false">PARAMETROS!$C$8</f>
        <v>0.1</v>
      </c>
      <c r="L51" s="24" t="n">
        <f aca="false">PARAMETROS!$D$8</f>
        <v>0.15</v>
      </c>
    </row>
    <row r="52" customFormat="false" ht="15" hidden="false" customHeight="false" outlineLevel="0" collapsed="false">
      <c r="I52" s="7" t="s">
        <v>155</v>
      </c>
      <c r="J52" s="25" t="n">
        <f aca="false">PARAMETROS!$B$9</f>
        <v>1</v>
      </c>
      <c r="K52" s="25" t="n">
        <f aca="false">PARAMETROS!$C$9</f>
        <v>1</v>
      </c>
      <c r="L52" s="25" t="n">
        <f aca="false">PARAMETROS!$D$9</f>
        <v>1.1</v>
      </c>
    </row>
    <row r="53" customFormat="false" ht="15" hidden="false" customHeight="false" outlineLevel="0" collapsed="false">
      <c r="I53" s="7" t="s">
        <v>326</v>
      </c>
      <c r="J53" s="8" t="n">
        <f aca="false">J49*(1+J50)*(1+J51)*J52</f>
        <v>62764.16907915</v>
      </c>
      <c r="K53" s="8" t="n">
        <f aca="false">K49*(1+K50)*(1+K51)*K52</f>
        <v>229637.195162672</v>
      </c>
      <c r="L53" s="8" t="n">
        <f aca="false">L49*(1+L50)*(1+L51)*L52</f>
        <v>797089.8084325</v>
      </c>
    </row>
    <row r="55" customFormat="false" ht="15" hidden="false" customHeight="false" outlineLevel="0" collapsed="false">
      <c r="A55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5" topLeftCell="E16" activePane="bottomRight" state="frozen"/>
      <selection pane="topLeft" activeCell="A1" activeCellId="0" sqref="A1"/>
      <selection pane="topRight" activeCell="E1" activeCellId="0" sqref="E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719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78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73</v>
      </c>
    </row>
    <row r="7" customFormat="false" ht="15" hidden="false" customHeight="false" outlineLevel="0" collapsed="false">
      <c r="A7" s="7" t="s">
        <v>8</v>
      </c>
      <c r="B7" s="10" t="s">
        <v>18</v>
      </c>
    </row>
    <row r="8" customFormat="false" ht="15" hidden="false" customHeight="false" outlineLevel="0" collapsed="false">
      <c r="A8" s="7" t="s">
        <v>160</v>
      </c>
      <c r="B8" s="10" t="s">
        <v>720</v>
      </c>
    </row>
    <row r="9" customFormat="false" ht="15" hidden="false" customHeight="false" outlineLevel="0" collapsed="false">
      <c r="A9" s="7" t="s">
        <v>9</v>
      </c>
      <c r="B9" s="10" t="s">
        <v>46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721</v>
      </c>
    </row>
    <row r="13" customFormat="false" ht="15" hidden="false" customHeight="false" outlineLevel="0" collapsed="false">
      <c r="B13" s="20" t="s">
        <v>556</v>
      </c>
    </row>
    <row r="15" customFormat="false" ht="23.85" hidden="false" customHeight="false" outlineLevel="0" collapsed="false">
      <c r="A15" s="4" t="s">
        <v>171</v>
      </c>
      <c r="B15" s="4" t="s">
        <v>172</v>
      </c>
      <c r="C15" s="4" t="s">
        <v>173</v>
      </c>
      <c r="D15" s="4" t="s">
        <v>174</v>
      </c>
      <c r="E15" s="4" t="s">
        <v>175</v>
      </c>
      <c r="F15" s="4" t="s">
        <v>176</v>
      </c>
      <c r="G15" s="4" t="s">
        <v>177</v>
      </c>
      <c r="H15" s="4" t="s">
        <v>178</v>
      </c>
      <c r="I15" s="4" t="s">
        <v>179</v>
      </c>
      <c r="J15" s="4" t="s">
        <v>180</v>
      </c>
      <c r="K15" s="4" t="s">
        <v>181</v>
      </c>
      <c r="L15" s="4" t="s">
        <v>182</v>
      </c>
      <c r="M15" s="4" t="s">
        <v>183</v>
      </c>
    </row>
    <row r="16" customFormat="false" ht="15" hidden="false" customHeight="false" outlineLevel="0" collapsed="false">
      <c r="A16" s="5" t="s">
        <v>333</v>
      </c>
      <c r="B16" s="5" t="s">
        <v>216</v>
      </c>
      <c r="C16" s="5" t="s">
        <v>186</v>
      </c>
      <c r="D16" s="5" t="s">
        <v>217</v>
      </c>
      <c r="E16" s="5" t="s">
        <v>188</v>
      </c>
      <c r="F16" s="21" t="n">
        <v>454.97</v>
      </c>
      <c r="G16" s="21" t="n">
        <v>6</v>
      </c>
      <c r="H16" s="21" t="n">
        <v>6</v>
      </c>
      <c r="I16" s="21" t="n">
        <v>6</v>
      </c>
      <c r="J16" s="22" t="n">
        <f aca="false">F16*G16</f>
        <v>2729.82</v>
      </c>
      <c r="K16" s="22" t="n">
        <f aca="false">F16*H16</f>
        <v>2729.82</v>
      </c>
      <c r="L16" s="22" t="n">
        <f aca="false">F16*I16</f>
        <v>2729.82</v>
      </c>
      <c r="M16" s="5" t="s">
        <v>218</v>
      </c>
    </row>
    <row r="17" customFormat="false" ht="15" hidden="false" customHeight="false" outlineLevel="0" collapsed="false">
      <c r="A17" s="5" t="s">
        <v>557</v>
      </c>
      <c r="B17" s="5" t="s">
        <v>220</v>
      </c>
      <c r="C17" s="5" t="s">
        <v>186</v>
      </c>
      <c r="D17" s="5" t="s">
        <v>221</v>
      </c>
      <c r="E17" s="5" t="s">
        <v>188</v>
      </c>
      <c r="F17" s="21" t="n">
        <v>4.43</v>
      </c>
      <c r="G17" s="21" t="n">
        <v>75</v>
      </c>
      <c r="H17" s="21" t="n">
        <v>281.25</v>
      </c>
      <c r="I17" s="21" t="n">
        <v>750</v>
      </c>
      <c r="J17" s="22" t="n">
        <f aca="false">F17*G17</f>
        <v>332.25</v>
      </c>
      <c r="K17" s="22" t="n">
        <f aca="false">F17*H17</f>
        <v>1245.9375</v>
      </c>
      <c r="L17" s="22" t="n">
        <f aca="false">F17*I17</f>
        <v>3322.5</v>
      </c>
      <c r="M17" s="5" t="s">
        <v>222</v>
      </c>
    </row>
    <row r="18" customFormat="false" ht="15" hidden="false" customHeight="false" outlineLevel="0" collapsed="false">
      <c r="A18" s="5" t="s">
        <v>557</v>
      </c>
      <c r="B18" s="5" t="s">
        <v>223</v>
      </c>
      <c r="C18" s="5" t="s">
        <v>186</v>
      </c>
      <c r="D18" s="5" t="s">
        <v>224</v>
      </c>
      <c r="E18" s="5" t="s">
        <v>188</v>
      </c>
      <c r="F18" s="21" t="n">
        <v>9.56</v>
      </c>
      <c r="G18" s="21" t="n">
        <v>37.5</v>
      </c>
      <c r="H18" s="21" t="n">
        <v>140.62</v>
      </c>
      <c r="I18" s="21" t="n">
        <v>375</v>
      </c>
      <c r="J18" s="22" t="n">
        <f aca="false">F18*G18</f>
        <v>358.5</v>
      </c>
      <c r="K18" s="22" t="n">
        <f aca="false">F18*H18</f>
        <v>1344.3272</v>
      </c>
      <c r="L18" s="22" t="n">
        <f aca="false">F18*I18</f>
        <v>3585</v>
      </c>
      <c r="M18" s="5" t="s">
        <v>225</v>
      </c>
    </row>
    <row r="19" customFormat="false" ht="15" hidden="false" customHeight="false" outlineLevel="0" collapsed="false">
      <c r="A19" s="5" t="s">
        <v>557</v>
      </c>
      <c r="B19" s="5" t="s">
        <v>226</v>
      </c>
      <c r="C19" s="5" t="s">
        <v>186</v>
      </c>
      <c r="D19" s="5" t="s">
        <v>227</v>
      </c>
      <c r="E19" s="5" t="s">
        <v>188</v>
      </c>
      <c r="F19" s="21" t="n">
        <v>2.58</v>
      </c>
      <c r="G19" s="21" t="n">
        <v>60</v>
      </c>
      <c r="H19" s="21" t="n">
        <v>225</v>
      </c>
      <c r="I19" s="21" t="n">
        <v>600</v>
      </c>
      <c r="J19" s="22" t="n">
        <f aca="false">F19*G19</f>
        <v>154.8</v>
      </c>
      <c r="K19" s="22" t="n">
        <f aca="false">F19*H19</f>
        <v>580.5</v>
      </c>
      <c r="L19" s="22" t="n">
        <f aca="false">F19*I19</f>
        <v>1548</v>
      </c>
      <c r="M19" s="5" t="s">
        <v>228</v>
      </c>
    </row>
    <row r="20" customFormat="false" ht="15" hidden="false" customHeight="false" outlineLevel="0" collapsed="false">
      <c r="A20" s="5" t="s">
        <v>557</v>
      </c>
      <c r="B20" s="5" t="s">
        <v>229</v>
      </c>
      <c r="C20" s="5" t="s">
        <v>186</v>
      </c>
      <c r="D20" s="5" t="s">
        <v>230</v>
      </c>
      <c r="E20" s="5" t="s">
        <v>188</v>
      </c>
      <c r="F20" s="21" t="n">
        <v>10.04</v>
      </c>
      <c r="G20" s="21" t="n">
        <v>30</v>
      </c>
      <c r="H20" s="21" t="n">
        <v>135</v>
      </c>
      <c r="I20" s="21" t="n">
        <v>360</v>
      </c>
      <c r="J20" s="22" t="n">
        <f aca="false">F20*G20</f>
        <v>301.2</v>
      </c>
      <c r="K20" s="22" t="n">
        <f aca="false">F20*H20</f>
        <v>1355.4</v>
      </c>
      <c r="L20" s="22" t="n">
        <f aca="false">F20*I20</f>
        <v>3614.4</v>
      </c>
      <c r="M20" s="5" t="s">
        <v>231</v>
      </c>
    </row>
    <row r="21" customFormat="false" ht="15" hidden="false" customHeight="false" outlineLevel="0" collapsed="false">
      <c r="A21" s="5" t="s">
        <v>557</v>
      </c>
      <c r="B21" s="5" t="s">
        <v>232</v>
      </c>
      <c r="C21" s="5" t="s">
        <v>186</v>
      </c>
      <c r="D21" s="5" t="s">
        <v>233</v>
      </c>
      <c r="E21" s="5" t="s">
        <v>188</v>
      </c>
      <c r="F21" s="21" t="n">
        <v>28.42</v>
      </c>
      <c r="G21" s="21" t="n">
        <v>9</v>
      </c>
      <c r="H21" s="21" t="n">
        <v>40.5</v>
      </c>
      <c r="I21" s="21" t="n">
        <v>108</v>
      </c>
      <c r="J21" s="22" t="n">
        <f aca="false">F21*G21</f>
        <v>255.78</v>
      </c>
      <c r="K21" s="22" t="n">
        <f aca="false">F21*H21</f>
        <v>1151.01</v>
      </c>
      <c r="L21" s="22" t="n">
        <f aca="false">F21*I21</f>
        <v>3069.36</v>
      </c>
      <c r="M21" s="5" t="s">
        <v>234</v>
      </c>
    </row>
    <row r="22" customFormat="false" ht="15" hidden="false" customHeight="false" outlineLevel="0" collapsed="false">
      <c r="A22" s="5" t="s">
        <v>557</v>
      </c>
      <c r="B22" s="5" t="s">
        <v>235</v>
      </c>
      <c r="C22" s="5" t="s">
        <v>186</v>
      </c>
      <c r="D22" s="5" t="s">
        <v>236</v>
      </c>
      <c r="E22" s="5" t="s">
        <v>188</v>
      </c>
      <c r="F22" s="21" t="n">
        <v>30.78</v>
      </c>
      <c r="G22" s="21" t="n">
        <v>4.5</v>
      </c>
      <c r="H22" s="21" t="n">
        <v>20.25</v>
      </c>
      <c r="I22" s="21" t="n">
        <v>54</v>
      </c>
      <c r="J22" s="22" t="n">
        <f aca="false">F22*G22</f>
        <v>138.51</v>
      </c>
      <c r="K22" s="22" t="n">
        <f aca="false">F22*H22</f>
        <v>623.295</v>
      </c>
      <c r="L22" s="22" t="n">
        <f aca="false">F22*I22</f>
        <v>1662.12</v>
      </c>
      <c r="M22" s="5" t="s">
        <v>237</v>
      </c>
    </row>
    <row r="23" customFormat="false" ht="15" hidden="false" customHeight="false" outlineLevel="0" collapsed="false">
      <c r="A23" s="5" t="s">
        <v>558</v>
      </c>
      <c r="B23" s="5" t="s">
        <v>239</v>
      </c>
      <c r="C23" s="5" t="s">
        <v>186</v>
      </c>
      <c r="D23" s="5" t="s">
        <v>240</v>
      </c>
      <c r="E23" s="5" t="s">
        <v>188</v>
      </c>
      <c r="F23" s="21" t="n">
        <v>101.54</v>
      </c>
      <c r="G23" s="21" t="n">
        <v>37.5</v>
      </c>
      <c r="H23" s="21" t="n">
        <v>140.62</v>
      </c>
      <c r="I23" s="21" t="n">
        <v>375</v>
      </c>
      <c r="J23" s="22" t="n">
        <f aca="false">F23*G23</f>
        <v>3807.75</v>
      </c>
      <c r="K23" s="22" t="n">
        <f aca="false">F23*H23</f>
        <v>14278.5548</v>
      </c>
      <c r="L23" s="22" t="n">
        <f aca="false">F23*I23</f>
        <v>38077.5</v>
      </c>
      <c r="M23" s="5" t="s">
        <v>241</v>
      </c>
    </row>
    <row r="24" customFormat="false" ht="15" hidden="false" customHeight="false" outlineLevel="0" collapsed="false">
      <c r="A24" s="5" t="s">
        <v>558</v>
      </c>
      <c r="B24" s="5" t="s">
        <v>242</v>
      </c>
      <c r="C24" s="5" t="s">
        <v>186</v>
      </c>
      <c r="D24" s="5" t="s">
        <v>243</v>
      </c>
      <c r="E24" s="5" t="s">
        <v>188</v>
      </c>
      <c r="F24" s="21" t="n">
        <v>42.42</v>
      </c>
      <c r="G24" s="21" t="n">
        <v>75</v>
      </c>
      <c r="H24" s="21" t="n">
        <v>281.25</v>
      </c>
      <c r="I24" s="21" t="n">
        <v>750</v>
      </c>
      <c r="J24" s="22" t="n">
        <f aca="false">F24*G24</f>
        <v>3181.5</v>
      </c>
      <c r="K24" s="22" t="n">
        <f aca="false">F24*H24</f>
        <v>11930.625</v>
      </c>
      <c r="L24" s="22" t="n">
        <f aca="false">F24*I24</f>
        <v>31815</v>
      </c>
      <c r="M24" s="5" t="s">
        <v>244</v>
      </c>
    </row>
    <row r="25" customFormat="false" ht="15" hidden="false" customHeight="false" outlineLevel="0" collapsed="false">
      <c r="A25" s="5" t="s">
        <v>558</v>
      </c>
      <c r="B25" s="5" t="s">
        <v>245</v>
      </c>
      <c r="C25" s="5" t="s">
        <v>186</v>
      </c>
      <c r="D25" s="5" t="s">
        <v>246</v>
      </c>
      <c r="E25" s="5" t="s">
        <v>188</v>
      </c>
      <c r="F25" s="21" t="n">
        <v>73.2</v>
      </c>
      <c r="G25" s="21" t="n">
        <v>60</v>
      </c>
      <c r="H25" s="21" t="n">
        <v>225</v>
      </c>
      <c r="I25" s="21" t="n">
        <v>600</v>
      </c>
      <c r="J25" s="22" t="n">
        <f aca="false">F25*G25</f>
        <v>4392</v>
      </c>
      <c r="K25" s="22" t="n">
        <f aca="false">F25*H25</f>
        <v>16470</v>
      </c>
      <c r="L25" s="22" t="n">
        <f aca="false">F25*I25</f>
        <v>43920</v>
      </c>
      <c r="M25" s="5" t="s">
        <v>247</v>
      </c>
    </row>
    <row r="26" customFormat="false" ht="15" hidden="false" customHeight="false" outlineLevel="0" collapsed="false">
      <c r="A26" s="5" t="s">
        <v>559</v>
      </c>
      <c r="B26" s="5" t="s">
        <v>249</v>
      </c>
      <c r="C26" s="5" t="s">
        <v>186</v>
      </c>
      <c r="D26" s="5" t="s">
        <v>250</v>
      </c>
      <c r="E26" s="5" t="s">
        <v>188</v>
      </c>
      <c r="F26" s="21" t="n">
        <v>6.03</v>
      </c>
      <c r="G26" s="21" t="n">
        <v>72</v>
      </c>
      <c r="H26" s="21" t="n">
        <v>324</v>
      </c>
      <c r="I26" s="21" t="n">
        <v>864</v>
      </c>
      <c r="J26" s="22" t="n">
        <f aca="false">F26*G26</f>
        <v>434.16</v>
      </c>
      <c r="K26" s="22" t="n">
        <f aca="false">F26*H26</f>
        <v>1953.72</v>
      </c>
      <c r="L26" s="22" t="n">
        <f aca="false">F26*I26</f>
        <v>5209.92</v>
      </c>
      <c r="M26" s="5" t="s">
        <v>251</v>
      </c>
    </row>
    <row r="27" customFormat="false" ht="15" hidden="false" customHeight="false" outlineLevel="0" collapsed="false">
      <c r="A27" s="5" t="s">
        <v>559</v>
      </c>
      <c r="B27" s="5" t="s">
        <v>252</v>
      </c>
      <c r="C27" s="5" t="s">
        <v>186</v>
      </c>
      <c r="D27" s="5" t="s">
        <v>253</v>
      </c>
      <c r="E27" s="5" t="s">
        <v>188</v>
      </c>
      <c r="F27" s="21" t="n">
        <v>31.79</v>
      </c>
      <c r="G27" s="21" t="n">
        <v>72</v>
      </c>
      <c r="H27" s="21" t="n">
        <v>324</v>
      </c>
      <c r="I27" s="21" t="n">
        <v>864</v>
      </c>
      <c r="J27" s="22" t="n">
        <f aca="false">F27*G27</f>
        <v>2288.88</v>
      </c>
      <c r="K27" s="22" t="n">
        <f aca="false">F27*H27</f>
        <v>10299.96</v>
      </c>
      <c r="L27" s="22" t="n">
        <f aca="false">F27*I27</f>
        <v>27466.56</v>
      </c>
      <c r="M27" s="5" t="s">
        <v>254</v>
      </c>
    </row>
    <row r="28" customFormat="false" ht="15" hidden="false" customHeight="false" outlineLevel="0" collapsed="false">
      <c r="A28" s="5" t="s">
        <v>559</v>
      </c>
      <c r="B28" s="5" t="s">
        <v>255</v>
      </c>
      <c r="C28" s="5" t="s">
        <v>186</v>
      </c>
      <c r="D28" s="5" t="s">
        <v>256</v>
      </c>
      <c r="E28" s="5" t="s">
        <v>188</v>
      </c>
      <c r="F28" s="21" t="n">
        <v>59.3</v>
      </c>
      <c r="G28" s="21" t="n">
        <v>9</v>
      </c>
      <c r="H28" s="21" t="n">
        <v>40.5</v>
      </c>
      <c r="I28" s="21" t="n">
        <v>108</v>
      </c>
      <c r="J28" s="22" t="n">
        <f aca="false">F28*G28</f>
        <v>533.7</v>
      </c>
      <c r="K28" s="22" t="n">
        <f aca="false">F28*H28</f>
        <v>2401.65</v>
      </c>
      <c r="L28" s="22" t="n">
        <f aca="false">F28*I28</f>
        <v>6404.4</v>
      </c>
      <c r="M28" s="5" t="s">
        <v>257</v>
      </c>
    </row>
    <row r="29" customFormat="false" ht="15" hidden="false" customHeight="false" outlineLevel="0" collapsed="false">
      <c r="A29" s="5" t="s">
        <v>559</v>
      </c>
      <c r="B29" s="5" t="s">
        <v>258</v>
      </c>
      <c r="C29" s="5" t="s">
        <v>186</v>
      </c>
      <c r="D29" s="5" t="s">
        <v>259</v>
      </c>
      <c r="E29" s="5" t="s">
        <v>188</v>
      </c>
      <c r="F29" s="21" t="n">
        <v>58.19</v>
      </c>
      <c r="G29" s="21" t="n">
        <v>30</v>
      </c>
      <c r="H29" s="21" t="n">
        <v>135</v>
      </c>
      <c r="I29" s="21" t="n">
        <v>360</v>
      </c>
      <c r="J29" s="22" t="n">
        <f aca="false">F29*G29</f>
        <v>1745.7</v>
      </c>
      <c r="K29" s="22" t="n">
        <f aca="false">F29*H29</f>
        <v>7855.65</v>
      </c>
      <c r="L29" s="22" t="n">
        <f aca="false">F29*I29</f>
        <v>20948.4</v>
      </c>
      <c r="M29" s="5" t="s">
        <v>260</v>
      </c>
    </row>
    <row r="30" customFormat="false" ht="15" hidden="false" customHeight="false" outlineLevel="0" collapsed="false">
      <c r="A30" s="5" t="s">
        <v>559</v>
      </c>
      <c r="B30" s="5" t="s">
        <v>261</v>
      </c>
      <c r="C30" s="5" t="s">
        <v>186</v>
      </c>
      <c r="D30" s="5" t="s">
        <v>262</v>
      </c>
      <c r="E30" s="5" t="s">
        <v>188</v>
      </c>
      <c r="F30" s="21" t="n">
        <v>50.14</v>
      </c>
      <c r="G30" s="21" t="n">
        <v>30</v>
      </c>
      <c r="H30" s="21" t="n">
        <v>135</v>
      </c>
      <c r="I30" s="21" t="n">
        <v>360</v>
      </c>
      <c r="J30" s="22" t="n">
        <f aca="false">F30*G30</f>
        <v>1504.2</v>
      </c>
      <c r="K30" s="22" t="n">
        <f aca="false">F30*H30</f>
        <v>6768.9</v>
      </c>
      <c r="L30" s="22" t="n">
        <f aca="false">F30*I30</f>
        <v>18050.4</v>
      </c>
      <c r="M30" s="5" t="s">
        <v>263</v>
      </c>
    </row>
    <row r="31" customFormat="false" ht="15" hidden="false" customHeight="false" outlineLevel="0" collapsed="false">
      <c r="A31" s="5" t="s">
        <v>560</v>
      </c>
      <c r="B31" s="5" t="s">
        <v>265</v>
      </c>
      <c r="C31" s="5" t="s">
        <v>186</v>
      </c>
      <c r="D31" s="5" t="s">
        <v>266</v>
      </c>
      <c r="E31" s="5" t="s">
        <v>188</v>
      </c>
      <c r="F31" s="21" t="n">
        <v>12.33</v>
      </c>
      <c r="G31" s="21" t="n">
        <v>900</v>
      </c>
      <c r="H31" s="21" t="n">
        <v>1350</v>
      </c>
      <c r="I31" s="21" t="n">
        <v>1800</v>
      </c>
      <c r="J31" s="22" t="n">
        <f aca="false">F31*G31</f>
        <v>11097</v>
      </c>
      <c r="K31" s="22" t="n">
        <f aca="false">F31*H31</f>
        <v>16645.5</v>
      </c>
      <c r="L31" s="22" t="n">
        <f aca="false">F31*I31</f>
        <v>22194</v>
      </c>
      <c r="M31" s="5" t="s">
        <v>267</v>
      </c>
    </row>
    <row r="32" customFormat="false" ht="15" hidden="false" customHeight="false" outlineLevel="0" collapsed="false">
      <c r="A32" s="5" t="s">
        <v>560</v>
      </c>
      <c r="B32" s="5" t="s">
        <v>268</v>
      </c>
      <c r="C32" s="5" t="s">
        <v>186</v>
      </c>
      <c r="D32" s="5" t="s">
        <v>269</v>
      </c>
      <c r="E32" s="5" t="s">
        <v>188</v>
      </c>
      <c r="F32" s="21" t="n">
        <v>15.25</v>
      </c>
      <c r="G32" s="21" t="n">
        <v>90</v>
      </c>
      <c r="H32" s="21" t="n">
        <v>135</v>
      </c>
      <c r="I32" s="21" t="n">
        <v>180</v>
      </c>
      <c r="J32" s="22" t="n">
        <f aca="false">F32*G32</f>
        <v>1372.5</v>
      </c>
      <c r="K32" s="22" t="n">
        <f aca="false">F32*H32</f>
        <v>2058.75</v>
      </c>
      <c r="L32" s="22" t="n">
        <f aca="false">F32*I32</f>
        <v>2745</v>
      </c>
      <c r="M32" s="5" t="s">
        <v>270</v>
      </c>
    </row>
    <row r="33" customFormat="false" ht="15" hidden="false" customHeight="false" outlineLevel="0" collapsed="false">
      <c r="A33" s="5" t="s">
        <v>374</v>
      </c>
      <c r="B33" s="5" t="s">
        <v>272</v>
      </c>
      <c r="C33" s="5" t="s">
        <v>186</v>
      </c>
      <c r="D33" s="5" t="s">
        <v>273</v>
      </c>
      <c r="E33" s="5" t="s">
        <v>188</v>
      </c>
      <c r="F33" s="21" t="n">
        <v>223.25</v>
      </c>
      <c r="G33" s="21" t="n">
        <v>4.5</v>
      </c>
      <c r="H33" s="21" t="n">
        <v>20.25</v>
      </c>
      <c r="I33" s="21" t="n">
        <v>54</v>
      </c>
      <c r="J33" s="22" t="n">
        <f aca="false">F33*G33</f>
        <v>1004.625</v>
      </c>
      <c r="K33" s="22" t="n">
        <f aca="false">F33*H33</f>
        <v>4520.8125</v>
      </c>
      <c r="L33" s="22" t="n">
        <f aca="false">F33*I33</f>
        <v>12055.5</v>
      </c>
      <c r="M33" s="5" t="s">
        <v>274</v>
      </c>
    </row>
    <row r="34" customFormat="false" ht="15" hidden="false" customHeight="false" outlineLevel="0" collapsed="false">
      <c r="A34" s="5" t="s">
        <v>374</v>
      </c>
      <c r="B34" s="5" t="s">
        <v>275</v>
      </c>
      <c r="C34" s="5" t="s">
        <v>186</v>
      </c>
      <c r="D34" s="5" t="s">
        <v>276</v>
      </c>
      <c r="E34" s="5" t="s">
        <v>277</v>
      </c>
      <c r="F34" s="21" t="n">
        <v>1179.17</v>
      </c>
      <c r="G34" s="21" t="n">
        <v>2</v>
      </c>
      <c r="H34" s="21" t="n">
        <v>9</v>
      </c>
      <c r="I34" s="21" t="n">
        <v>24</v>
      </c>
      <c r="J34" s="22" t="n">
        <f aca="false">F34*G34</f>
        <v>2358.34</v>
      </c>
      <c r="K34" s="22" t="n">
        <f aca="false">F34*H34</f>
        <v>10612.53</v>
      </c>
      <c r="L34" s="22" t="n">
        <f aca="false">F34*I34</f>
        <v>28300.08</v>
      </c>
      <c r="M34" s="5" t="s">
        <v>278</v>
      </c>
    </row>
    <row r="35" customFormat="false" ht="15" hidden="false" customHeight="false" outlineLevel="0" collapsed="false">
      <c r="A35" s="5" t="s">
        <v>561</v>
      </c>
      <c r="B35" s="5" t="s">
        <v>280</v>
      </c>
      <c r="C35" s="5" t="s">
        <v>186</v>
      </c>
      <c r="D35" s="5" t="s">
        <v>281</v>
      </c>
      <c r="E35" s="5" t="s">
        <v>277</v>
      </c>
      <c r="F35" s="21" t="n">
        <v>53.69</v>
      </c>
      <c r="G35" s="21" t="n">
        <v>10</v>
      </c>
      <c r="H35" s="21" t="n">
        <v>37.5</v>
      </c>
      <c r="I35" s="21" t="n">
        <v>100</v>
      </c>
      <c r="J35" s="22" t="n">
        <f aca="false">F35*G35</f>
        <v>536.9</v>
      </c>
      <c r="K35" s="22" t="n">
        <f aca="false">F35*H35</f>
        <v>2013.375</v>
      </c>
      <c r="L35" s="22" t="n">
        <f aca="false">F35*I35</f>
        <v>5369</v>
      </c>
      <c r="M35" s="5" t="s">
        <v>282</v>
      </c>
    </row>
    <row r="36" customFormat="false" ht="15" hidden="false" customHeight="false" outlineLevel="0" collapsed="false">
      <c r="A36" s="5" t="s">
        <v>561</v>
      </c>
      <c r="B36" s="5" t="s">
        <v>283</v>
      </c>
      <c r="C36" s="5" t="s">
        <v>186</v>
      </c>
      <c r="D36" s="5" t="s">
        <v>284</v>
      </c>
      <c r="E36" s="5" t="s">
        <v>277</v>
      </c>
      <c r="F36" s="21" t="n">
        <v>30.86</v>
      </c>
      <c r="G36" s="21" t="n">
        <v>7.5</v>
      </c>
      <c r="H36" s="21" t="n">
        <v>28.12</v>
      </c>
      <c r="I36" s="21" t="n">
        <v>75</v>
      </c>
      <c r="J36" s="22" t="n">
        <f aca="false">F36*G36</f>
        <v>231.45</v>
      </c>
      <c r="K36" s="22" t="n">
        <f aca="false">F36*H36</f>
        <v>867.7832</v>
      </c>
      <c r="L36" s="22" t="n">
        <f aca="false">F36*I36</f>
        <v>2314.5</v>
      </c>
      <c r="M36" s="5" t="s">
        <v>285</v>
      </c>
    </row>
    <row r="37" customFormat="false" ht="15" hidden="false" customHeight="false" outlineLevel="0" collapsed="false">
      <c r="A37" s="5" t="s">
        <v>561</v>
      </c>
      <c r="B37" s="5" t="s">
        <v>286</v>
      </c>
      <c r="C37" s="5" t="s">
        <v>186</v>
      </c>
      <c r="D37" s="5" t="s">
        <v>287</v>
      </c>
      <c r="E37" s="5" t="s">
        <v>194</v>
      </c>
      <c r="F37" s="21" t="n">
        <v>5.48</v>
      </c>
      <c r="G37" s="21" t="n">
        <v>720</v>
      </c>
      <c r="H37" s="21" t="n">
        <v>2700</v>
      </c>
      <c r="I37" s="21" t="n">
        <v>7200</v>
      </c>
      <c r="J37" s="22" t="n">
        <f aca="false">F37*G37</f>
        <v>3945.6</v>
      </c>
      <c r="K37" s="22" t="n">
        <f aca="false">F37*H37</f>
        <v>14796</v>
      </c>
      <c r="L37" s="22" t="n">
        <f aca="false">F37*I37</f>
        <v>39456</v>
      </c>
      <c r="M37" s="5" t="s">
        <v>288</v>
      </c>
    </row>
    <row r="38" customFormat="false" ht="15" hidden="false" customHeight="false" outlineLevel="0" collapsed="false">
      <c r="A38" s="5" t="s">
        <v>561</v>
      </c>
      <c r="B38" s="5" t="s">
        <v>289</v>
      </c>
      <c r="C38" s="5" t="s">
        <v>186</v>
      </c>
      <c r="D38" s="5" t="s">
        <v>290</v>
      </c>
      <c r="E38" s="5" t="s">
        <v>194</v>
      </c>
      <c r="F38" s="21" t="n">
        <v>11.2</v>
      </c>
      <c r="G38" s="21" t="n">
        <v>240</v>
      </c>
      <c r="H38" s="21" t="n">
        <v>900</v>
      </c>
      <c r="I38" s="21" t="n">
        <v>2400</v>
      </c>
      <c r="J38" s="22" t="n">
        <f aca="false">F38*G38</f>
        <v>2688</v>
      </c>
      <c r="K38" s="22" t="n">
        <f aca="false">F38*H38</f>
        <v>10080</v>
      </c>
      <c r="L38" s="22" t="n">
        <f aca="false">F38*I38</f>
        <v>26880</v>
      </c>
      <c r="M38" s="5" t="s">
        <v>291</v>
      </c>
    </row>
    <row r="39" customFormat="false" ht="15" hidden="false" customHeight="false" outlineLevel="0" collapsed="false">
      <c r="A39" s="5" t="s">
        <v>561</v>
      </c>
      <c r="B39" s="5" t="s">
        <v>292</v>
      </c>
      <c r="C39" s="5" t="s">
        <v>186</v>
      </c>
      <c r="D39" s="5" t="s">
        <v>293</v>
      </c>
      <c r="E39" s="5" t="s">
        <v>277</v>
      </c>
      <c r="F39" s="21" t="n">
        <v>623.29</v>
      </c>
      <c r="G39" s="21" t="n">
        <v>1</v>
      </c>
      <c r="H39" s="21" t="n">
        <v>1.5</v>
      </c>
      <c r="I39" s="21" t="n">
        <v>4</v>
      </c>
      <c r="J39" s="22" t="n">
        <f aca="false">F39*G39</f>
        <v>623.29</v>
      </c>
      <c r="K39" s="22" t="n">
        <f aca="false">F39*H39</f>
        <v>934.935</v>
      </c>
      <c r="L39" s="22" t="n">
        <f aca="false">F39*I39</f>
        <v>2493.16</v>
      </c>
      <c r="M39" s="5" t="s">
        <v>294</v>
      </c>
    </row>
    <row r="40" customFormat="false" ht="15" hidden="false" customHeight="false" outlineLevel="0" collapsed="false">
      <c r="A40" s="5" t="s">
        <v>561</v>
      </c>
      <c r="B40" s="5" t="s">
        <v>295</v>
      </c>
      <c r="C40" s="5" t="s">
        <v>186</v>
      </c>
      <c r="D40" s="5" t="s">
        <v>296</v>
      </c>
      <c r="E40" s="5" t="s">
        <v>277</v>
      </c>
      <c r="F40" s="21" t="n">
        <v>630.3</v>
      </c>
      <c r="G40" s="21" t="n">
        <v>1.5</v>
      </c>
      <c r="H40" s="21" t="n">
        <v>5.62</v>
      </c>
      <c r="I40" s="21" t="n">
        <v>15</v>
      </c>
      <c r="J40" s="22" t="n">
        <f aca="false">F40*G40</f>
        <v>945.45</v>
      </c>
      <c r="K40" s="22" t="n">
        <f aca="false">F40*H40</f>
        <v>3542.286</v>
      </c>
      <c r="L40" s="22" t="n">
        <f aca="false">F40*I40</f>
        <v>9454.5</v>
      </c>
      <c r="M40" s="5" t="s">
        <v>297</v>
      </c>
    </row>
    <row r="41" customFormat="false" ht="15" hidden="false" customHeight="false" outlineLevel="0" collapsed="false">
      <c r="A41" s="5" t="s">
        <v>561</v>
      </c>
      <c r="B41" s="5" t="s">
        <v>298</v>
      </c>
      <c r="C41" s="5" t="s">
        <v>186</v>
      </c>
      <c r="D41" s="5" t="s">
        <v>299</v>
      </c>
      <c r="E41" s="5" t="s">
        <v>277</v>
      </c>
      <c r="F41" s="21" t="n">
        <v>368.02</v>
      </c>
      <c r="G41" s="21" t="n">
        <v>1.5</v>
      </c>
      <c r="H41" s="21" t="n">
        <v>5.62</v>
      </c>
      <c r="I41" s="21" t="n">
        <v>15</v>
      </c>
      <c r="J41" s="22" t="n">
        <f aca="false">F41*G41</f>
        <v>552.03</v>
      </c>
      <c r="K41" s="22" t="n">
        <f aca="false">F41*H41</f>
        <v>2068.2724</v>
      </c>
      <c r="L41" s="22" t="n">
        <f aca="false">F41*I41</f>
        <v>5520.3</v>
      </c>
      <c r="M41" s="5" t="s">
        <v>300</v>
      </c>
    </row>
    <row r="42" customFormat="false" ht="15" hidden="false" customHeight="false" outlineLevel="0" collapsed="false">
      <c r="A42" s="5" t="s">
        <v>561</v>
      </c>
      <c r="B42" s="5" t="s">
        <v>301</v>
      </c>
      <c r="C42" s="5" t="s">
        <v>186</v>
      </c>
      <c r="D42" s="5" t="s">
        <v>302</v>
      </c>
      <c r="E42" s="5" t="s">
        <v>194</v>
      </c>
      <c r="F42" s="21" t="n">
        <v>43.26</v>
      </c>
      <c r="G42" s="21" t="n">
        <v>18</v>
      </c>
      <c r="H42" s="21" t="n">
        <v>67.5</v>
      </c>
      <c r="I42" s="21" t="n">
        <v>180</v>
      </c>
      <c r="J42" s="22" t="n">
        <f aca="false">F42*G42</f>
        <v>778.68</v>
      </c>
      <c r="K42" s="22" t="n">
        <f aca="false">F42*H42</f>
        <v>2920.05</v>
      </c>
      <c r="L42" s="22" t="n">
        <f aca="false">F42*I42</f>
        <v>7786.8</v>
      </c>
      <c r="M42" s="5" t="s">
        <v>303</v>
      </c>
    </row>
    <row r="43" customFormat="false" ht="15" hidden="false" customHeight="false" outlineLevel="0" collapsed="false">
      <c r="A43" s="5" t="s">
        <v>562</v>
      </c>
      <c r="B43" s="5" t="s">
        <v>305</v>
      </c>
      <c r="C43" s="5" t="s">
        <v>186</v>
      </c>
      <c r="D43" s="5" t="s">
        <v>306</v>
      </c>
      <c r="E43" s="5" t="s">
        <v>277</v>
      </c>
      <c r="F43" s="21" t="n">
        <v>288.1</v>
      </c>
      <c r="G43" s="21" t="n">
        <v>2</v>
      </c>
      <c r="H43" s="21" t="n">
        <v>3</v>
      </c>
      <c r="I43" s="21" t="n">
        <v>4</v>
      </c>
      <c r="J43" s="22" t="n">
        <f aca="false">F43*G43</f>
        <v>576.2</v>
      </c>
      <c r="K43" s="22" t="n">
        <f aca="false">F43*H43</f>
        <v>864.3</v>
      </c>
      <c r="L43" s="22" t="n">
        <f aca="false">F43*I43</f>
        <v>1152.4</v>
      </c>
      <c r="M43" s="5" t="s">
        <v>307</v>
      </c>
    </row>
    <row r="44" customFormat="false" ht="15" hidden="false" customHeight="false" outlineLevel="0" collapsed="false">
      <c r="A44" s="5" t="s">
        <v>562</v>
      </c>
      <c r="B44" s="5" t="s">
        <v>308</v>
      </c>
      <c r="C44" s="5" t="s">
        <v>186</v>
      </c>
      <c r="D44" s="5" t="s">
        <v>309</v>
      </c>
      <c r="E44" s="5" t="s">
        <v>277</v>
      </c>
      <c r="F44" s="21" t="n">
        <v>17.96</v>
      </c>
      <c r="G44" s="21" t="n">
        <v>6</v>
      </c>
      <c r="H44" s="21" t="n">
        <v>9</v>
      </c>
      <c r="I44" s="21" t="n">
        <v>12</v>
      </c>
      <c r="J44" s="22" t="n">
        <f aca="false">F44*G44</f>
        <v>107.76</v>
      </c>
      <c r="K44" s="22" t="n">
        <f aca="false">F44*H44</f>
        <v>161.64</v>
      </c>
      <c r="L44" s="22" t="n">
        <f aca="false">F44*I44</f>
        <v>215.52</v>
      </c>
      <c r="M44" s="5" t="s">
        <v>310</v>
      </c>
    </row>
    <row r="45" customFormat="false" ht="15" hidden="false" customHeight="false" outlineLevel="0" collapsed="false">
      <c r="A45" s="5" t="s">
        <v>562</v>
      </c>
      <c r="B45" s="5" t="s">
        <v>311</v>
      </c>
      <c r="C45" s="5" t="s">
        <v>192</v>
      </c>
      <c r="D45" s="5" t="s">
        <v>312</v>
      </c>
      <c r="E45" s="5" t="s">
        <v>277</v>
      </c>
      <c r="F45" s="21" t="n">
        <v>20.47</v>
      </c>
      <c r="G45" s="21" t="n">
        <v>6</v>
      </c>
      <c r="H45" s="21" t="n">
        <v>9</v>
      </c>
      <c r="I45" s="21" t="n">
        <v>12</v>
      </c>
      <c r="J45" s="22" t="n">
        <f aca="false">F45*G45</f>
        <v>122.82</v>
      </c>
      <c r="K45" s="22" t="n">
        <f aca="false">F45*H45</f>
        <v>184.23</v>
      </c>
      <c r="L45" s="22" t="n">
        <f aca="false">F45*I45</f>
        <v>245.64</v>
      </c>
      <c r="M45" s="5" t="s">
        <v>313</v>
      </c>
    </row>
    <row r="46" customFormat="false" ht="15" hidden="false" customHeight="false" outlineLevel="0" collapsed="false">
      <c r="A46" s="5" t="s">
        <v>563</v>
      </c>
      <c r="B46" s="5" t="s">
        <v>315</v>
      </c>
      <c r="C46" s="5" t="s">
        <v>186</v>
      </c>
      <c r="D46" s="5" t="s">
        <v>316</v>
      </c>
      <c r="E46" s="5" t="s">
        <v>317</v>
      </c>
      <c r="F46" s="21" t="n">
        <v>9.88</v>
      </c>
      <c r="G46" s="21" t="n">
        <v>15</v>
      </c>
      <c r="H46" s="21" t="n">
        <v>22.5</v>
      </c>
      <c r="I46" s="21" t="n">
        <v>30</v>
      </c>
      <c r="J46" s="22" t="n">
        <f aca="false">F46*G46</f>
        <v>148.2</v>
      </c>
      <c r="K46" s="22" t="n">
        <f aca="false">F46*H46</f>
        <v>222.3</v>
      </c>
      <c r="L46" s="22" t="n">
        <f aca="false">F46*I46</f>
        <v>296.4</v>
      </c>
      <c r="M46" s="5" t="s">
        <v>318</v>
      </c>
    </row>
    <row r="47" customFormat="false" ht="15" hidden="false" customHeight="false" outlineLevel="0" collapsed="false">
      <c r="A47" s="5" t="s">
        <v>563</v>
      </c>
      <c r="B47" s="5" t="s">
        <v>319</v>
      </c>
      <c r="C47" s="5" t="s">
        <v>186</v>
      </c>
      <c r="D47" s="5" t="s">
        <v>320</v>
      </c>
      <c r="E47" s="5" t="s">
        <v>321</v>
      </c>
      <c r="F47" s="21" t="n">
        <v>2.83</v>
      </c>
      <c r="G47" s="21" t="n">
        <v>150</v>
      </c>
      <c r="H47" s="21" t="n">
        <v>225</v>
      </c>
      <c r="I47" s="21" t="n">
        <v>300</v>
      </c>
      <c r="J47" s="22" t="n">
        <f aca="false">F47*G47</f>
        <v>424.5</v>
      </c>
      <c r="K47" s="22" t="n">
        <f aca="false">F47*H47</f>
        <v>636.75</v>
      </c>
      <c r="L47" s="22" t="n">
        <f aca="false">F47*I47</f>
        <v>849</v>
      </c>
      <c r="M47" s="5" t="s">
        <v>322</v>
      </c>
    </row>
    <row r="48" customFormat="false" ht="15" hidden="false" customHeight="false" outlineLevel="0" collapsed="false">
      <c r="I48" s="7" t="s">
        <v>323</v>
      </c>
      <c r="J48" s="23" t="n">
        <f aca="false">SUM(J16:J47)</f>
        <v>49672.095</v>
      </c>
      <c r="K48" s="23" t="n">
        <f aca="false">SUM(K16:K47)</f>
        <v>154118.8636</v>
      </c>
      <c r="L48" s="23" t="n">
        <f aca="false">SUM(L16:L47)</f>
        <v>378751.18</v>
      </c>
    </row>
    <row r="49" customFormat="false" ht="15" hidden="false" customHeight="false" outlineLevel="0" collapsed="false">
      <c r="I49" s="7" t="s">
        <v>324</v>
      </c>
      <c r="J49" s="24" t="n">
        <f aca="false">PARAMETROS!$B$6</f>
        <v>0.2034</v>
      </c>
      <c r="K49" s="24" t="n">
        <f aca="false">PARAMETROS!$C$6</f>
        <v>0.2212</v>
      </c>
      <c r="L49" s="24" t="n">
        <f aca="false">PARAMETROS!$D$6</f>
        <v>0.25</v>
      </c>
    </row>
    <row r="50" customFormat="false" ht="15" hidden="false" customHeight="false" outlineLevel="0" collapsed="false">
      <c r="I50" s="7" t="s">
        <v>325</v>
      </c>
      <c r="J50" s="24" t="n">
        <f aca="false">PARAMETROS!$B$8</f>
        <v>0.05</v>
      </c>
      <c r="K50" s="24" t="n">
        <f aca="false">PARAMETROS!$C$8</f>
        <v>0.1</v>
      </c>
      <c r="L50" s="24" t="n">
        <f aca="false">PARAMETROS!$D$8</f>
        <v>0.15</v>
      </c>
    </row>
    <row r="51" customFormat="false" ht="15" hidden="false" customHeight="false" outlineLevel="0" collapsed="false">
      <c r="I51" s="7" t="s">
        <v>155</v>
      </c>
      <c r="J51" s="25" t="n">
        <f aca="false">PARAMETROS!$B$9</f>
        <v>1</v>
      </c>
      <c r="K51" s="25" t="n">
        <f aca="false">PARAMETROS!$C$9</f>
        <v>1</v>
      </c>
      <c r="L51" s="25" t="n">
        <f aca="false">PARAMETROS!$D$9</f>
        <v>1.1</v>
      </c>
    </row>
    <row r="52" customFormat="false" ht="15" hidden="false" customHeight="false" outlineLevel="0" collapsed="false">
      <c r="I52" s="7" t="s">
        <v>326</v>
      </c>
      <c r="J52" s="8" t="n">
        <f aca="false">J48*(1+J49)*(1+J50)*J51</f>
        <v>62764.16907915</v>
      </c>
      <c r="K52" s="8" t="n">
        <f aca="false">K48*(1+K49)*(1+K50)*K51</f>
        <v>207030.951851152</v>
      </c>
      <c r="L52" s="8" t="n">
        <f aca="false">L48*(1+L49)*(1+L50)*L51</f>
        <v>598900.303375</v>
      </c>
    </row>
    <row r="54" customFormat="false" ht="15" hidden="false" customHeight="false" outlineLevel="0" collapsed="false">
      <c r="A54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722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81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73</v>
      </c>
    </row>
    <row r="7" customFormat="false" ht="15" hidden="false" customHeight="false" outlineLevel="0" collapsed="false">
      <c r="A7" s="7" t="s">
        <v>8</v>
      </c>
      <c r="B7" s="10" t="s">
        <v>23</v>
      </c>
    </row>
    <row r="8" customFormat="false" ht="15" hidden="false" customHeight="false" outlineLevel="0" collapsed="false">
      <c r="A8" s="7" t="s">
        <v>160</v>
      </c>
      <c r="B8" s="10" t="s">
        <v>723</v>
      </c>
    </row>
    <row r="9" customFormat="false" ht="15" hidden="false" customHeight="false" outlineLevel="0" collapsed="false">
      <c r="A9" s="7" t="s">
        <v>9</v>
      </c>
      <c r="B9" s="10" t="s">
        <v>24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724</v>
      </c>
    </row>
    <row r="13" customFormat="false" ht="15" hidden="false" customHeight="false" outlineLevel="0" collapsed="false">
      <c r="B13" s="20" t="s">
        <v>725</v>
      </c>
    </row>
    <row r="14" customFormat="false" ht="15" hidden="false" customHeight="false" outlineLevel="0" collapsed="false">
      <c r="B14" s="20" t="s">
        <v>726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727</v>
      </c>
      <c r="B17" s="5" t="s">
        <v>352</v>
      </c>
      <c r="C17" s="5" t="s">
        <v>186</v>
      </c>
      <c r="D17" s="5" t="s">
        <v>353</v>
      </c>
      <c r="E17" s="5" t="s">
        <v>188</v>
      </c>
      <c r="F17" s="21" t="n">
        <v>119.54</v>
      </c>
      <c r="G17" s="21" t="n">
        <v>30</v>
      </c>
      <c r="H17" s="21" t="n">
        <v>60</v>
      </c>
      <c r="I17" s="21" t="n">
        <v>120</v>
      </c>
      <c r="J17" s="22" t="n">
        <f aca="false">F17*G17</f>
        <v>3586.2</v>
      </c>
      <c r="K17" s="22" t="n">
        <f aca="false">F17*H17</f>
        <v>7172.4</v>
      </c>
      <c r="L17" s="22" t="n">
        <f aca="false">F17*I17</f>
        <v>14344.8</v>
      </c>
      <c r="M17" s="5" t="s">
        <v>728</v>
      </c>
    </row>
    <row r="18" customFormat="false" ht="15" hidden="false" customHeight="false" outlineLevel="0" collapsed="false">
      <c r="A18" s="5" t="s">
        <v>727</v>
      </c>
      <c r="B18" s="5" t="s">
        <v>478</v>
      </c>
      <c r="C18" s="5" t="s">
        <v>186</v>
      </c>
      <c r="D18" s="5" t="s">
        <v>479</v>
      </c>
      <c r="E18" s="5" t="s">
        <v>188</v>
      </c>
      <c r="F18" s="21" t="n">
        <v>581.71</v>
      </c>
      <c r="G18" s="21" t="n">
        <v>7.5</v>
      </c>
      <c r="H18" s="21" t="n">
        <v>15</v>
      </c>
      <c r="I18" s="21" t="n">
        <v>30</v>
      </c>
      <c r="J18" s="22" t="n">
        <f aca="false">F18*G18</f>
        <v>4362.825</v>
      </c>
      <c r="K18" s="22" t="n">
        <f aca="false">F18*H18</f>
        <v>8725.65</v>
      </c>
      <c r="L18" s="22" t="n">
        <f aca="false">F18*I18</f>
        <v>17451.3</v>
      </c>
      <c r="M18" s="5" t="s">
        <v>729</v>
      </c>
    </row>
    <row r="19" customFormat="false" ht="15" hidden="false" customHeight="false" outlineLevel="0" collapsed="false">
      <c r="A19" s="5" t="s">
        <v>727</v>
      </c>
      <c r="B19" s="5" t="s">
        <v>258</v>
      </c>
      <c r="C19" s="5" t="s">
        <v>186</v>
      </c>
      <c r="D19" s="5" t="s">
        <v>259</v>
      </c>
      <c r="E19" s="5" t="s">
        <v>188</v>
      </c>
      <c r="F19" s="21" t="n">
        <v>58.19</v>
      </c>
      <c r="G19" s="21" t="n">
        <v>10</v>
      </c>
      <c r="H19" s="21" t="n">
        <v>20</v>
      </c>
      <c r="I19" s="21" t="n">
        <v>40</v>
      </c>
      <c r="J19" s="22" t="n">
        <f aca="false">F19*G19</f>
        <v>581.9</v>
      </c>
      <c r="K19" s="22" t="n">
        <f aca="false">F19*H19</f>
        <v>1163.8</v>
      </c>
      <c r="L19" s="22" t="n">
        <f aca="false">F19*I19</f>
        <v>2327.6</v>
      </c>
      <c r="M19" s="5" t="s">
        <v>730</v>
      </c>
    </row>
    <row r="20" customFormat="false" ht="15" hidden="false" customHeight="false" outlineLevel="0" collapsed="false">
      <c r="A20" s="5" t="s">
        <v>731</v>
      </c>
      <c r="B20" s="5" t="s">
        <v>272</v>
      </c>
      <c r="C20" s="5" t="s">
        <v>186</v>
      </c>
      <c r="D20" s="5" t="s">
        <v>273</v>
      </c>
      <c r="E20" s="5" t="s">
        <v>188</v>
      </c>
      <c r="F20" s="21" t="n">
        <v>223.25</v>
      </c>
      <c r="G20" s="21" t="n">
        <v>7.5</v>
      </c>
      <c r="H20" s="21" t="n">
        <v>15</v>
      </c>
      <c r="I20" s="21" t="n">
        <v>30</v>
      </c>
      <c r="J20" s="22" t="n">
        <f aca="false">F20*G20</f>
        <v>1674.375</v>
      </c>
      <c r="K20" s="22" t="n">
        <f aca="false">F20*H20</f>
        <v>3348.75</v>
      </c>
      <c r="L20" s="22" t="n">
        <f aca="false">F20*I20</f>
        <v>6697.5</v>
      </c>
      <c r="M20" s="5" t="s">
        <v>732</v>
      </c>
    </row>
    <row r="21" customFormat="false" ht="15" hidden="false" customHeight="false" outlineLevel="0" collapsed="false">
      <c r="A21" s="5" t="s">
        <v>731</v>
      </c>
      <c r="B21" s="5" t="s">
        <v>232</v>
      </c>
      <c r="C21" s="5" t="s">
        <v>186</v>
      </c>
      <c r="D21" s="5" t="s">
        <v>233</v>
      </c>
      <c r="E21" s="5" t="s">
        <v>188</v>
      </c>
      <c r="F21" s="21" t="n">
        <v>28.42</v>
      </c>
      <c r="G21" s="21" t="n">
        <v>75</v>
      </c>
      <c r="H21" s="21" t="n">
        <v>150</v>
      </c>
      <c r="I21" s="21" t="n">
        <v>300</v>
      </c>
      <c r="J21" s="22" t="n">
        <f aca="false">F21*G21</f>
        <v>2131.5</v>
      </c>
      <c r="K21" s="22" t="n">
        <f aca="false">F21*H21</f>
        <v>4263</v>
      </c>
      <c r="L21" s="22" t="n">
        <f aca="false">F21*I21</f>
        <v>8526</v>
      </c>
      <c r="M21" s="5" t="s">
        <v>234</v>
      </c>
    </row>
    <row r="22" customFormat="false" ht="15" hidden="false" customHeight="false" outlineLevel="0" collapsed="false">
      <c r="A22" s="5" t="s">
        <v>731</v>
      </c>
      <c r="B22" s="5" t="s">
        <v>255</v>
      </c>
      <c r="C22" s="5" t="s">
        <v>186</v>
      </c>
      <c r="D22" s="5" t="s">
        <v>256</v>
      </c>
      <c r="E22" s="5" t="s">
        <v>188</v>
      </c>
      <c r="F22" s="21" t="n">
        <v>59.3</v>
      </c>
      <c r="G22" s="21" t="n">
        <v>75</v>
      </c>
      <c r="H22" s="21" t="n">
        <v>150</v>
      </c>
      <c r="I22" s="21" t="n">
        <v>300</v>
      </c>
      <c r="J22" s="22" t="n">
        <f aca="false">F22*G22</f>
        <v>4447.5</v>
      </c>
      <c r="K22" s="22" t="n">
        <f aca="false">F22*H22</f>
        <v>8895</v>
      </c>
      <c r="L22" s="22" t="n">
        <f aca="false">F22*I22</f>
        <v>17790</v>
      </c>
      <c r="M22" s="5" t="s">
        <v>257</v>
      </c>
    </row>
    <row r="23" customFormat="false" ht="15" hidden="false" customHeight="false" outlineLevel="0" collapsed="false">
      <c r="A23" s="5" t="s">
        <v>731</v>
      </c>
      <c r="B23" s="5" t="s">
        <v>229</v>
      </c>
      <c r="C23" s="5" t="s">
        <v>186</v>
      </c>
      <c r="D23" s="5" t="s">
        <v>230</v>
      </c>
      <c r="E23" s="5" t="s">
        <v>188</v>
      </c>
      <c r="F23" s="21" t="n">
        <v>10.04</v>
      </c>
      <c r="G23" s="21" t="n">
        <v>75</v>
      </c>
      <c r="H23" s="21" t="n">
        <v>150</v>
      </c>
      <c r="I23" s="21" t="n">
        <v>300</v>
      </c>
      <c r="J23" s="22" t="n">
        <f aca="false">F23*G23</f>
        <v>753</v>
      </c>
      <c r="K23" s="22" t="n">
        <f aca="false">F23*H23</f>
        <v>1506</v>
      </c>
      <c r="L23" s="22" t="n">
        <f aca="false">F23*I23</f>
        <v>3012</v>
      </c>
      <c r="M23" s="5" t="s">
        <v>733</v>
      </c>
    </row>
    <row r="24" customFormat="false" ht="15" hidden="false" customHeight="false" outlineLevel="0" collapsed="false">
      <c r="A24" s="5" t="s">
        <v>731</v>
      </c>
      <c r="B24" s="5" t="s">
        <v>261</v>
      </c>
      <c r="C24" s="5" t="s">
        <v>186</v>
      </c>
      <c r="D24" s="5" t="s">
        <v>262</v>
      </c>
      <c r="E24" s="5" t="s">
        <v>188</v>
      </c>
      <c r="F24" s="21" t="n">
        <v>50.14</v>
      </c>
      <c r="G24" s="21" t="n">
        <v>75</v>
      </c>
      <c r="H24" s="21" t="n">
        <v>150</v>
      </c>
      <c r="I24" s="21" t="n">
        <v>300</v>
      </c>
      <c r="J24" s="22" t="n">
        <f aca="false">F24*G24</f>
        <v>3760.5</v>
      </c>
      <c r="K24" s="22" t="n">
        <f aca="false">F24*H24</f>
        <v>7521</v>
      </c>
      <c r="L24" s="22" t="n">
        <f aca="false">F24*I24</f>
        <v>15042</v>
      </c>
      <c r="M24" s="5" t="s">
        <v>366</v>
      </c>
    </row>
    <row r="25" customFormat="false" ht="15" hidden="false" customHeight="false" outlineLevel="0" collapsed="false">
      <c r="A25" s="5" t="s">
        <v>734</v>
      </c>
      <c r="B25" s="5" t="s">
        <v>735</v>
      </c>
      <c r="C25" s="5" t="s">
        <v>186</v>
      </c>
      <c r="D25" s="5" t="s">
        <v>736</v>
      </c>
      <c r="E25" s="5" t="s">
        <v>277</v>
      </c>
      <c r="F25" s="21" t="n">
        <v>599.14</v>
      </c>
      <c r="G25" s="21" t="n">
        <v>5</v>
      </c>
      <c r="H25" s="21" t="n">
        <v>10</v>
      </c>
      <c r="I25" s="21" t="n">
        <v>20</v>
      </c>
      <c r="J25" s="22" t="n">
        <f aca="false">F25*G25</f>
        <v>2995.7</v>
      </c>
      <c r="K25" s="22" t="n">
        <f aca="false">F25*H25</f>
        <v>5991.4</v>
      </c>
      <c r="L25" s="22" t="n">
        <f aca="false">F25*I25</f>
        <v>11982.8</v>
      </c>
      <c r="M25" s="5" t="s">
        <v>737</v>
      </c>
    </row>
    <row r="26" customFormat="false" ht="15" hidden="false" customHeight="false" outlineLevel="0" collapsed="false">
      <c r="A26" s="5" t="s">
        <v>734</v>
      </c>
      <c r="B26" s="5" t="s">
        <v>738</v>
      </c>
      <c r="C26" s="5" t="s">
        <v>186</v>
      </c>
      <c r="D26" s="5" t="s">
        <v>739</v>
      </c>
      <c r="E26" s="5" t="s">
        <v>277</v>
      </c>
      <c r="F26" s="21" t="n">
        <v>1134.94</v>
      </c>
      <c r="G26" s="21" t="n">
        <v>5</v>
      </c>
      <c r="H26" s="21" t="n">
        <v>10</v>
      </c>
      <c r="I26" s="21" t="n">
        <v>20</v>
      </c>
      <c r="J26" s="22" t="n">
        <f aca="false">F26*G26</f>
        <v>5674.7</v>
      </c>
      <c r="K26" s="22" t="n">
        <f aca="false">F26*H26</f>
        <v>11349.4</v>
      </c>
      <c r="L26" s="22" t="n">
        <f aca="false">F26*I26</f>
        <v>22698.8</v>
      </c>
      <c r="M26" s="5" t="s">
        <v>740</v>
      </c>
    </row>
    <row r="27" customFormat="false" ht="15" hidden="false" customHeight="false" outlineLevel="0" collapsed="false">
      <c r="A27" s="5" t="s">
        <v>734</v>
      </c>
      <c r="B27" s="5" t="s">
        <v>280</v>
      </c>
      <c r="C27" s="5" t="s">
        <v>186</v>
      </c>
      <c r="D27" s="5" t="s">
        <v>281</v>
      </c>
      <c r="E27" s="5" t="s">
        <v>277</v>
      </c>
      <c r="F27" s="21" t="n">
        <v>53.69</v>
      </c>
      <c r="G27" s="21" t="n">
        <v>20</v>
      </c>
      <c r="H27" s="21" t="n">
        <v>40</v>
      </c>
      <c r="I27" s="21" t="n">
        <v>80</v>
      </c>
      <c r="J27" s="22" t="n">
        <f aca="false">F27*G27</f>
        <v>1073.8</v>
      </c>
      <c r="K27" s="22" t="n">
        <f aca="false">F27*H27</f>
        <v>2147.6</v>
      </c>
      <c r="L27" s="22" t="n">
        <f aca="false">F27*I27</f>
        <v>4295.2</v>
      </c>
      <c r="M27" s="5" t="s">
        <v>471</v>
      </c>
    </row>
    <row r="28" customFormat="false" ht="15" hidden="false" customHeight="false" outlineLevel="0" collapsed="false">
      <c r="A28" s="5" t="s">
        <v>734</v>
      </c>
      <c r="B28" s="5" t="s">
        <v>283</v>
      </c>
      <c r="C28" s="5" t="s">
        <v>186</v>
      </c>
      <c r="D28" s="5" t="s">
        <v>284</v>
      </c>
      <c r="E28" s="5" t="s">
        <v>277</v>
      </c>
      <c r="F28" s="21" t="n">
        <v>30.86</v>
      </c>
      <c r="G28" s="21" t="n">
        <v>15</v>
      </c>
      <c r="H28" s="21" t="n">
        <v>30</v>
      </c>
      <c r="I28" s="21" t="n">
        <v>60</v>
      </c>
      <c r="J28" s="22" t="n">
        <f aca="false">F28*G28</f>
        <v>462.9</v>
      </c>
      <c r="K28" s="22" t="n">
        <f aca="false">F28*H28</f>
        <v>925.8</v>
      </c>
      <c r="L28" s="22" t="n">
        <f aca="false">F28*I28</f>
        <v>1851.6</v>
      </c>
      <c r="M28" s="5" t="s">
        <v>741</v>
      </c>
    </row>
    <row r="29" customFormat="false" ht="15" hidden="false" customHeight="false" outlineLevel="0" collapsed="false">
      <c r="A29" s="5" t="s">
        <v>734</v>
      </c>
      <c r="B29" s="5" t="s">
        <v>305</v>
      </c>
      <c r="C29" s="5" t="s">
        <v>186</v>
      </c>
      <c r="D29" s="5" t="s">
        <v>306</v>
      </c>
      <c r="E29" s="5" t="s">
        <v>277</v>
      </c>
      <c r="F29" s="21" t="n">
        <v>288.1</v>
      </c>
      <c r="G29" s="21" t="n">
        <v>5</v>
      </c>
      <c r="H29" s="21" t="n">
        <v>10</v>
      </c>
      <c r="I29" s="21" t="n">
        <v>20</v>
      </c>
      <c r="J29" s="22" t="n">
        <f aca="false">F29*G29</f>
        <v>1440.5</v>
      </c>
      <c r="K29" s="22" t="n">
        <f aca="false">F29*H29</f>
        <v>2881</v>
      </c>
      <c r="L29" s="22" t="n">
        <f aca="false">F29*I29</f>
        <v>5762</v>
      </c>
      <c r="M29" s="5" t="s">
        <v>742</v>
      </c>
    </row>
    <row r="30" customFormat="false" ht="15" hidden="false" customHeight="false" outlineLevel="0" collapsed="false">
      <c r="I30" s="7" t="s">
        <v>323</v>
      </c>
      <c r="J30" s="23" t="n">
        <f aca="false">SUM(J17:J29)</f>
        <v>32945.4</v>
      </c>
      <c r="K30" s="23" t="n">
        <f aca="false">SUM(K17:K29)</f>
        <v>65890.8</v>
      </c>
      <c r="L30" s="23" t="n">
        <f aca="false">SUM(L17:L29)</f>
        <v>131781.6</v>
      </c>
    </row>
    <row r="31" customFormat="false" ht="15" hidden="false" customHeight="false" outlineLevel="0" collapsed="false">
      <c r="I31" s="7" t="s">
        <v>324</v>
      </c>
      <c r="J31" s="24" t="n">
        <f aca="false">PARAMETROS!$B$6</f>
        <v>0.2034</v>
      </c>
      <c r="K31" s="24" t="n">
        <f aca="false">PARAMETROS!$C$6</f>
        <v>0.2212</v>
      </c>
      <c r="L31" s="24" t="n">
        <f aca="false">PARAMETROS!$D$6</f>
        <v>0.25</v>
      </c>
    </row>
    <row r="32" customFormat="false" ht="15" hidden="false" customHeight="false" outlineLevel="0" collapsed="false">
      <c r="I32" s="7" t="s">
        <v>325</v>
      </c>
      <c r="J32" s="24" t="n">
        <f aca="false">PARAMETROS!$B$8</f>
        <v>0.05</v>
      </c>
      <c r="K32" s="24" t="n">
        <f aca="false">PARAMETROS!$C$8</f>
        <v>0.1</v>
      </c>
      <c r="L32" s="24" t="n">
        <f aca="false">PARAMETROS!$D$8</f>
        <v>0.15</v>
      </c>
    </row>
    <row r="33" customFormat="false" ht="15" hidden="false" customHeight="false" outlineLevel="0" collapsed="false">
      <c r="I33" s="7" t="s">
        <v>155</v>
      </c>
      <c r="J33" s="25" t="n">
        <f aca="false">PARAMETROS!$B$9</f>
        <v>1</v>
      </c>
      <c r="K33" s="25" t="n">
        <f aca="false">PARAMETROS!$C$9</f>
        <v>1</v>
      </c>
      <c r="L33" s="25" t="n">
        <f aca="false">PARAMETROS!$D$9</f>
        <v>1.1</v>
      </c>
    </row>
    <row r="34" customFormat="false" ht="15" hidden="false" customHeight="false" outlineLevel="0" collapsed="false">
      <c r="I34" s="7" t="s">
        <v>326</v>
      </c>
      <c r="J34" s="8" t="n">
        <f aca="false">J30*(1+J31)*(1+J32)*J33</f>
        <v>41628.819078</v>
      </c>
      <c r="K34" s="8" t="n">
        <f aca="false">K30*(1+K31)*(1+K32)*K33</f>
        <v>88512.429456</v>
      </c>
      <c r="L34" s="8" t="n">
        <f aca="false">L30*(1+L31)*(1+L32)*L33</f>
        <v>208379.655</v>
      </c>
    </row>
    <row r="36" customFormat="false" ht="15" hidden="false" customHeight="false" outlineLevel="0" collapsed="false">
      <c r="A36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743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84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86</v>
      </c>
    </row>
    <row r="7" customFormat="false" ht="15" hidden="false" customHeight="false" outlineLevel="0" collapsed="false">
      <c r="A7" s="7" t="s">
        <v>8</v>
      </c>
      <c r="B7" s="10" t="s">
        <v>41</v>
      </c>
    </row>
    <row r="8" customFormat="false" ht="15" hidden="false" customHeight="false" outlineLevel="0" collapsed="false">
      <c r="A8" s="7" t="s">
        <v>160</v>
      </c>
      <c r="B8" s="10" t="s">
        <v>744</v>
      </c>
    </row>
    <row r="9" customFormat="false" ht="15" hidden="false" customHeight="false" outlineLevel="0" collapsed="false">
      <c r="A9" s="7" t="s">
        <v>9</v>
      </c>
      <c r="B9" s="10" t="s">
        <v>87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745</v>
      </c>
    </row>
    <row r="13" customFormat="false" ht="15" hidden="false" customHeight="false" outlineLevel="0" collapsed="false">
      <c r="B13" s="20" t="s">
        <v>746</v>
      </c>
    </row>
    <row r="14" customFormat="false" ht="15" hidden="false" customHeight="false" outlineLevel="0" collapsed="false">
      <c r="B14" s="20" t="s">
        <v>747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748</v>
      </c>
      <c r="B17" s="5" t="s">
        <v>749</v>
      </c>
      <c r="C17" s="5" t="s">
        <v>186</v>
      </c>
      <c r="D17" s="5" t="s">
        <v>750</v>
      </c>
      <c r="E17" s="5" t="s">
        <v>277</v>
      </c>
      <c r="F17" s="21" t="n">
        <v>388.09</v>
      </c>
      <c r="G17" s="21" t="n">
        <v>15</v>
      </c>
      <c r="H17" s="21" t="n">
        <v>20</v>
      </c>
      <c r="I17" s="21" t="n">
        <v>30</v>
      </c>
      <c r="J17" s="22" t="n">
        <f aca="false">F17*G17</f>
        <v>5821.35</v>
      </c>
      <c r="K17" s="22" t="n">
        <f aca="false">F17*H17</f>
        <v>7761.8</v>
      </c>
      <c r="L17" s="22" t="n">
        <f aca="false">F17*I17</f>
        <v>11642.7</v>
      </c>
      <c r="M17" s="5" t="s">
        <v>751</v>
      </c>
    </row>
    <row r="18" customFormat="false" ht="15" hidden="false" customHeight="false" outlineLevel="0" collapsed="false">
      <c r="A18" s="5" t="s">
        <v>748</v>
      </c>
      <c r="B18" s="5" t="s">
        <v>308</v>
      </c>
      <c r="C18" s="5" t="s">
        <v>186</v>
      </c>
      <c r="D18" s="5" t="s">
        <v>309</v>
      </c>
      <c r="E18" s="5" t="s">
        <v>277</v>
      </c>
      <c r="F18" s="21" t="n">
        <v>17.96</v>
      </c>
      <c r="G18" s="21" t="n">
        <v>40</v>
      </c>
      <c r="H18" s="21" t="n">
        <v>60</v>
      </c>
      <c r="I18" s="21" t="n">
        <v>90</v>
      </c>
      <c r="J18" s="22" t="n">
        <f aca="false">F18*G18</f>
        <v>718.4</v>
      </c>
      <c r="K18" s="22" t="n">
        <f aca="false">F18*H18</f>
        <v>1077.6</v>
      </c>
      <c r="L18" s="22" t="n">
        <f aca="false">F18*I18</f>
        <v>1616.4</v>
      </c>
      <c r="M18" s="5" t="s">
        <v>310</v>
      </c>
    </row>
    <row r="19" customFormat="false" ht="15" hidden="false" customHeight="false" outlineLevel="0" collapsed="false">
      <c r="A19" s="5" t="s">
        <v>748</v>
      </c>
      <c r="B19" s="5" t="s">
        <v>752</v>
      </c>
      <c r="C19" s="5" t="s">
        <v>192</v>
      </c>
      <c r="D19" s="5" t="s">
        <v>753</v>
      </c>
      <c r="E19" s="5" t="s">
        <v>277</v>
      </c>
      <c r="F19" s="21" t="n">
        <v>33</v>
      </c>
      <c r="G19" s="21" t="n">
        <v>40</v>
      </c>
      <c r="H19" s="21" t="n">
        <v>60</v>
      </c>
      <c r="I19" s="21" t="n">
        <v>90</v>
      </c>
      <c r="J19" s="22" t="n">
        <f aca="false">F19*G19</f>
        <v>1320</v>
      </c>
      <c r="K19" s="22" t="n">
        <f aca="false">F19*H19</f>
        <v>1980</v>
      </c>
      <c r="L19" s="22" t="n">
        <f aca="false">F19*I19</f>
        <v>2970</v>
      </c>
      <c r="M19" s="5" t="s">
        <v>754</v>
      </c>
    </row>
    <row r="20" customFormat="false" ht="15" hidden="false" customHeight="false" outlineLevel="0" collapsed="false">
      <c r="A20" s="5" t="s">
        <v>755</v>
      </c>
      <c r="B20" s="5" t="s">
        <v>756</v>
      </c>
      <c r="C20" s="5" t="s">
        <v>186</v>
      </c>
      <c r="D20" s="5" t="s">
        <v>757</v>
      </c>
      <c r="E20" s="5" t="s">
        <v>194</v>
      </c>
      <c r="F20" s="21" t="n">
        <v>474.61</v>
      </c>
      <c r="G20" s="21" t="n">
        <v>200</v>
      </c>
      <c r="H20" s="21" t="n">
        <v>300</v>
      </c>
      <c r="I20" s="21" t="n">
        <v>450</v>
      </c>
      <c r="J20" s="22" t="n">
        <f aca="false">F20*G20</f>
        <v>94922</v>
      </c>
      <c r="K20" s="22" t="n">
        <f aca="false">F20*H20</f>
        <v>142383</v>
      </c>
      <c r="L20" s="22" t="n">
        <f aca="false">F20*I20</f>
        <v>213574.5</v>
      </c>
      <c r="M20" s="5" t="s">
        <v>758</v>
      </c>
    </row>
    <row r="21" customFormat="false" ht="15" hidden="false" customHeight="false" outlineLevel="0" collapsed="false">
      <c r="A21" s="5" t="s">
        <v>759</v>
      </c>
      <c r="B21" s="5" t="s">
        <v>760</v>
      </c>
      <c r="C21" s="5" t="s">
        <v>186</v>
      </c>
      <c r="D21" s="5" t="s">
        <v>761</v>
      </c>
      <c r="E21" s="5" t="s">
        <v>277</v>
      </c>
      <c r="F21" s="21" t="n">
        <v>148.57</v>
      </c>
      <c r="G21" s="21" t="n">
        <v>6</v>
      </c>
      <c r="H21" s="21" t="n">
        <v>8</v>
      </c>
      <c r="I21" s="21" t="n">
        <v>12</v>
      </c>
      <c r="J21" s="22" t="n">
        <f aca="false">F21*G21</f>
        <v>891.42</v>
      </c>
      <c r="K21" s="22" t="n">
        <f aca="false">F21*H21</f>
        <v>1188.56</v>
      </c>
      <c r="L21" s="22" t="n">
        <f aca="false">F21*I21</f>
        <v>1782.84</v>
      </c>
      <c r="M21" s="5" t="s">
        <v>762</v>
      </c>
    </row>
    <row r="22" customFormat="false" ht="15" hidden="false" customHeight="false" outlineLevel="0" collapsed="false">
      <c r="A22" s="5" t="s">
        <v>759</v>
      </c>
      <c r="B22" s="5" t="s">
        <v>763</v>
      </c>
      <c r="C22" s="5" t="s">
        <v>186</v>
      </c>
      <c r="D22" s="5" t="s">
        <v>764</v>
      </c>
      <c r="E22" s="5" t="s">
        <v>194</v>
      </c>
      <c r="F22" s="21" t="n">
        <v>111.74</v>
      </c>
      <c r="G22" s="21" t="n">
        <v>300</v>
      </c>
      <c r="H22" s="21" t="n">
        <v>400</v>
      </c>
      <c r="I22" s="21" t="n">
        <v>600</v>
      </c>
      <c r="J22" s="22" t="n">
        <f aca="false">F22*G22</f>
        <v>33522</v>
      </c>
      <c r="K22" s="22" t="n">
        <f aca="false">F22*H22</f>
        <v>44696</v>
      </c>
      <c r="L22" s="22" t="n">
        <f aca="false">F22*I22</f>
        <v>67044</v>
      </c>
      <c r="M22" s="5" t="s">
        <v>765</v>
      </c>
    </row>
    <row r="23" customFormat="false" ht="15" hidden="false" customHeight="false" outlineLevel="0" collapsed="false">
      <c r="A23" s="5" t="s">
        <v>766</v>
      </c>
      <c r="B23" s="5" t="s">
        <v>265</v>
      </c>
      <c r="C23" s="5" t="s">
        <v>186</v>
      </c>
      <c r="D23" s="5" t="s">
        <v>266</v>
      </c>
      <c r="E23" s="5" t="s">
        <v>188</v>
      </c>
      <c r="F23" s="21" t="n">
        <v>12.33</v>
      </c>
      <c r="G23" s="21" t="n">
        <v>1500</v>
      </c>
      <c r="H23" s="21" t="n">
        <v>2000</v>
      </c>
      <c r="I23" s="21" t="n">
        <v>3000</v>
      </c>
      <c r="J23" s="22" t="n">
        <f aca="false">F23*G23</f>
        <v>18495</v>
      </c>
      <c r="K23" s="22" t="n">
        <f aca="false">F23*H23</f>
        <v>24660</v>
      </c>
      <c r="L23" s="22" t="n">
        <f aca="false">F23*I23</f>
        <v>36990</v>
      </c>
      <c r="M23" s="5" t="s">
        <v>767</v>
      </c>
    </row>
    <row r="24" customFormat="false" ht="15" hidden="false" customHeight="false" outlineLevel="0" collapsed="false">
      <c r="A24" s="5" t="s">
        <v>766</v>
      </c>
      <c r="B24" s="5" t="s">
        <v>768</v>
      </c>
      <c r="C24" s="5" t="s">
        <v>186</v>
      </c>
      <c r="D24" s="5" t="s">
        <v>769</v>
      </c>
      <c r="E24" s="5" t="s">
        <v>188</v>
      </c>
      <c r="F24" s="21" t="n">
        <v>154.44</v>
      </c>
      <c r="G24" s="21" t="n">
        <v>10</v>
      </c>
      <c r="H24" s="21" t="n">
        <v>20</v>
      </c>
      <c r="I24" s="21" t="n">
        <v>30</v>
      </c>
      <c r="J24" s="22" t="n">
        <f aca="false">F24*G24</f>
        <v>1544.4</v>
      </c>
      <c r="K24" s="22" t="n">
        <f aca="false">F24*H24</f>
        <v>3088.8</v>
      </c>
      <c r="L24" s="22" t="n">
        <f aca="false">F24*I24</f>
        <v>4633.2</v>
      </c>
      <c r="M24" s="5" t="s">
        <v>770</v>
      </c>
    </row>
    <row r="25" customFormat="false" ht="15" hidden="false" customHeight="false" outlineLevel="0" collapsed="false">
      <c r="A25" s="5" t="s">
        <v>771</v>
      </c>
      <c r="B25" s="5" t="s">
        <v>216</v>
      </c>
      <c r="C25" s="5" t="s">
        <v>186</v>
      </c>
      <c r="D25" s="5" t="s">
        <v>217</v>
      </c>
      <c r="E25" s="5" t="s">
        <v>188</v>
      </c>
      <c r="F25" s="21" t="n">
        <v>454.97</v>
      </c>
      <c r="G25" s="21" t="n">
        <v>6</v>
      </c>
      <c r="H25" s="21" t="n">
        <v>6</v>
      </c>
      <c r="I25" s="21" t="n">
        <v>6</v>
      </c>
      <c r="J25" s="22" t="n">
        <f aca="false">F25*G25</f>
        <v>2729.82</v>
      </c>
      <c r="K25" s="22" t="n">
        <f aca="false">F25*H25</f>
        <v>2729.82</v>
      </c>
      <c r="L25" s="22" t="n">
        <f aca="false">F25*I25</f>
        <v>2729.82</v>
      </c>
      <c r="M25" s="5" t="s">
        <v>218</v>
      </c>
    </row>
    <row r="26" customFormat="false" ht="15" hidden="false" customHeight="false" outlineLevel="0" collapsed="false">
      <c r="A26" s="5" t="s">
        <v>772</v>
      </c>
      <c r="B26" s="5" t="s">
        <v>220</v>
      </c>
      <c r="C26" s="5" t="s">
        <v>186</v>
      </c>
      <c r="D26" s="5" t="s">
        <v>221</v>
      </c>
      <c r="E26" s="5" t="s">
        <v>188</v>
      </c>
      <c r="F26" s="21" t="n">
        <v>4.43</v>
      </c>
      <c r="G26" s="21" t="n">
        <v>100</v>
      </c>
      <c r="H26" s="21" t="n">
        <v>375</v>
      </c>
      <c r="I26" s="21" t="n">
        <v>1125</v>
      </c>
      <c r="J26" s="22" t="n">
        <f aca="false">F26*G26</f>
        <v>443</v>
      </c>
      <c r="K26" s="22" t="n">
        <f aca="false">F26*H26</f>
        <v>1661.25</v>
      </c>
      <c r="L26" s="22" t="n">
        <f aca="false">F26*I26</f>
        <v>4983.75</v>
      </c>
      <c r="M26" s="5" t="s">
        <v>222</v>
      </c>
    </row>
    <row r="27" customFormat="false" ht="15" hidden="false" customHeight="false" outlineLevel="0" collapsed="false">
      <c r="A27" s="5" t="s">
        <v>772</v>
      </c>
      <c r="B27" s="5" t="s">
        <v>223</v>
      </c>
      <c r="C27" s="5" t="s">
        <v>186</v>
      </c>
      <c r="D27" s="5" t="s">
        <v>224</v>
      </c>
      <c r="E27" s="5" t="s">
        <v>188</v>
      </c>
      <c r="F27" s="21" t="n">
        <v>9.56</v>
      </c>
      <c r="G27" s="21" t="n">
        <v>50</v>
      </c>
      <c r="H27" s="21" t="n">
        <v>187.5</v>
      </c>
      <c r="I27" s="21" t="n">
        <v>562.5</v>
      </c>
      <c r="J27" s="22" t="n">
        <f aca="false">F27*G27</f>
        <v>478</v>
      </c>
      <c r="K27" s="22" t="n">
        <f aca="false">F27*H27</f>
        <v>1792.5</v>
      </c>
      <c r="L27" s="22" t="n">
        <f aca="false">F27*I27</f>
        <v>5377.5</v>
      </c>
      <c r="M27" s="5" t="s">
        <v>225</v>
      </c>
    </row>
    <row r="28" customFormat="false" ht="15" hidden="false" customHeight="false" outlineLevel="0" collapsed="false">
      <c r="A28" s="5" t="s">
        <v>772</v>
      </c>
      <c r="B28" s="5" t="s">
        <v>226</v>
      </c>
      <c r="C28" s="5" t="s">
        <v>186</v>
      </c>
      <c r="D28" s="5" t="s">
        <v>227</v>
      </c>
      <c r="E28" s="5" t="s">
        <v>188</v>
      </c>
      <c r="F28" s="21" t="n">
        <v>2.58</v>
      </c>
      <c r="G28" s="21" t="n">
        <v>80</v>
      </c>
      <c r="H28" s="21" t="n">
        <v>300</v>
      </c>
      <c r="I28" s="21" t="n">
        <v>900</v>
      </c>
      <c r="J28" s="22" t="n">
        <f aca="false">F28*G28</f>
        <v>206.4</v>
      </c>
      <c r="K28" s="22" t="n">
        <f aca="false">F28*H28</f>
        <v>774</v>
      </c>
      <c r="L28" s="22" t="n">
        <f aca="false">F28*I28</f>
        <v>2322</v>
      </c>
      <c r="M28" s="5" t="s">
        <v>228</v>
      </c>
    </row>
    <row r="29" customFormat="false" ht="15" hidden="false" customHeight="false" outlineLevel="0" collapsed="false">
      <c r="A29" s="5" t="s">
        <v>772</v>
      </c>
      <c r="B29" s="5" t="s">
        <v>229</v>
      </c>
      <c r="C29" s="5" t="s">
        <v>186</v>
      </c>
      <c r="D29" s="5" t="s">
        <v>230</v>
      </c>
      <c r="E29" s="5" t="s">
        <v>188</v>
      </c>
      <c r="F29" s="21" t="n">
        <v>10.04</v>
      </c>
      <c r="G29" s="21" t="n">
        <v>40</v>
      </c>
      <c r="H29" s="21" t="n">
        <v>180</v>
      </c>
      <c r="I29" s="21" t="n">
        <v>540</v>
      </c>
      <c r="J29" s="22" t="n">
        <f aca="false">F29*G29</f>
        <v>401.6</v>
      </c>
      <c r="K29" s="22" t="n">
        <f aca="false">F29*H29</f>
        <v>1807.2</v>
      </c>
      <c r="L29" s="22" t="n">
        <f aca="false">F29*I29</f>
        <v>5421.6</v>
      </c>
      <c r="M29" s="5" t="s">
        <v>231</v>
      </c>
    </row>
    <row r="30" customFormat="false" ht="15" hidden="false" customHeight="false" outlineLevel="0" collapsed="false">
      <c r="A30" s="5" t="s">
        <v>772</v>
      </c>
      <c r="B30" s="5" t="s">
        <v>232</v>
      </c>
      <c r="C30" s="5" t="s">
        <v>186</v>
      </c>
      <c r="D30" s="5" t="s">
        <v>233</v>
      </c>
      <c r="E30" s="5" t="s">
        <v>188</v>
      </c>
      <c r="F30" s="21" t="n">
        <v>28.42</v>
      </c>
      <c r="G30" s="21" t="n">
        <v>12</v>
      </c>
      <c r="H30" s="21" t="n">
        <v>54</v>
      </c>
      <c r="I30" s="21" t="n">
        <v>162</v>
      </c>
      <c r="J30" s="22" t="n">
        <f aca="false">F30*G30</f>
        <v>341.04</v>
      </c>
      <c r="K30" s="22" t="n">
        <f aca="false">F30*H30</f>
        <v>1534.68</v>
      </c>
      <c r="L30" s="22" t="n">
        <f aca="false">F30*I30</f>
        <v>4604.04</v>
      </c>
      <c r="M30" s="5" t="s">
        <v>234</v>
      </c>
    </row>
    <row r="31" customFormat="false" ht="15" hidden="false" customHeight="false" outlineLevel="0" collapsed="false">
      <c r="A31" s="5" t="s">
        <v>772</v>
      </c>
      <c r="B31" s="5" t="s">
        <v>235</v>
      </c>
      <c r="C31" s="5" t="s">
        <v>186</v>
      </c>
      <c r="D31" s="5" t="s">
        <v>236</v>
      </c>
      <c r="E31" s="5" t="s">
        <v>188</v>
      </c>
      <c r="F31" s="21" t="n">
        <v>30.78</v>
      </c>
      <c r="G31" s="21" t="n">
        <v>6</v>
      </c>
      <c r="H31" s="21" t="n">
        <v>27</v>
      </c>
      <c r="I31" s="21" t="n">
        <v>81</v>
      </c>
      <c r="J31" s="22" t="n">
        <f aca="false">F31*G31</f>
        <v>184.68</v>
      </c>
      <c r="K31" s="22" t="n">
        <f aca="false">F31*H31</f>
        <v>831.06</v>
      </c>
      <c r="L31" s="22" t="n">
        <f aca="false">F31*I31</f>
        <v>2493.18</v>
      </c>
      <c r="M31" s="5" t="s">
        <v>237</v>
      </c>
    </row>
    <row r="32" customFormat="false" ht="15" hidden="false" customHeight="false" outlineLevel="0" collapsed="false">
      <c r="A32" s="5" t="s">
        <v>773</v>
      </c>
      <c r="B32" s="5" t="s">
        <v>239</v>
      </c>
      <c r="C32" s="5" t="s">
        <v>186</v>
      </c>
      <c r="D32" s="5" t="s">
        <v>240</v>
      </c>
      <c r="E32" s="5" t="s">
        <v>188</v>
      </c>
      <c r="F32" s="21" t="n">
        <v>101.54</v>
      </c>
      <c r="G32" s="21" t="n">
        <v>50</v>
      </c>
      <c r="H32" s="21" t="n">
        <v>187.5</v>
      </c>
      <c r="I32" s="21" t="n">
        <v>562.5</v>
      </c>
      <c r="J32" s="22" t="n">
        <f aca="false">F32*G32</f>
        <v>5077</v>
      </c>
      <c r="K32" s="22" t="n">
        <f aca="false">F32*H32</f>
        <v>19038.75</v>
      </c>
      <c r="L32" s="22" t="n">
        <f aca="false">F32*I32</f>
        <v>57116.25</v>
      </c>
      <c r="M32" s="5" t="s">
        <v>241</v>
      </c>
    </row>
    <row r="33" customFormat="false" ht="15" hidden="false" customHeight="false" outlineLevel="0" collapsed="false">
      <c r="A33" s="5" t="s">
        <v>773</v>
      </c>
      <c r="B33" s="5" t="s">
        <v>242</v>
      </c>
      <c r="C33" s="5" t="s">
        <v>186</v>
      </c>
      <c r="D33" s="5" t="s">
        <v>243</v>
      </c>
      <c r="E33" s="5" t="s">
        <v>188</v>
      </c>
      <c r="F33" s="21" t="n">
        <v>42.42</v>
      </c>
      <c r="G33" s="21" t="n">
        <v>100</v>
      </c>
      <c r="H33" s="21" t="n">
        <v>375</v>
      </c>
      <c r="I33" s="21" t="n">
        <v>1125</v>
      </c>
      <c r="J33" s="22" t="n">
        <f aca="false">F33*G33</f>
        <v>4242</v>
      </c>
      <c r="K33" s="22" t="n">
        <f aca="false">F33*H33</f>
        <v>15907.5</v>
      </c>
      <c r="L33" s="22" t="n">
        <f aca="false">F33*I33</f>
        <v>47722.5</v>
      </c>
      <c r="M33" s="5" t="s">
        <v>244</v>
      </c>
    </row>
    <row r="34" customFormat="false" ht="15" hidden="false" customHeight="false" outlineLevel="0" collapsed="false">
      <c r="A34" s="5" t="s">
        <v>773</v>
      </c>
      <c r="B34" s="5" t="s">
        <v>245</v>
      </c>
      <c r="C34" s="5" t="s">
        <v>186</v>
      </c>
      <c r="D34" s="5" t="s">
        <v>246</v>
      </c>
      <c r="E34" s="5" t="s">
        <v>188</v>
      </c>
      <c r="F34" s="21" t="n">
        <v>73.2</v>
      </c>
      <c r="G34" s="21" t="n">
        <v>80</v>
      </c>
      <c r="H34" s="21" t="n">
        <v>300</v>
      </c>
      <c r="I34" s="21" t="n">
        <v>900</v>
      </c>
      <c r="J34" s="22" t="n">
        <f aca="false">F34*G34</f>
        <v>5856</v>
      </c>
      <c r="K34" s="22" t="n">
        <f aca="false">F34*H34</f>
        <v>21960</v>
      </c>
      <c r="L34" s="22" t="n">
        <f aca="false">F34*I34</f>
        <v>65880</v>
      </c>
      <c r="M34" s="5" t="s">
        <v>247</v>
      </c>
    </row>
    <row r="35" customFormat="false" ht="15" hidden="false" customHeight="false" outlineLevel="0" collapsed="false">
      <c r="A35" s="5" t="s">
        <v>774</v>
      </c>
      <c r="B35" s="5" t="s">
        <v>249</v>
      </c>
      <c r="C35" s="5" t="s">
        <v>186</v>
      </c>
      <c r="D35" s="5" t="s">
        <v>250</v>
      </c>
      <c r="E35" s="5" t="s">
        <v>188</v>
      </c>
      <c r="F35" s="21" t="n">
        <v>6.03</v>
      </c>
      <c r="G35" s="21" t="n">
        <v>96</v>
      </c>
      <c r="H35" s="21" t="n">
        <v>432</v>
      </c>
      <c r="I35" s="21" t="n">
        <v>1296</v>
      </c>
      <c r="J35" s="22" t="n">
        <f aca="false">F35*G35</f>
        <v>578.88</v>
      </c>
      <c r="K35" s="22" t="n">
        <f aca="false">F35*H35</f>
        <v>2604.96</v>
      </c>
      <c r="L35" s="22" t="n">
        <f aca="false">F35*I35</f>
        <v>7814.88</v>
      </c>
      <c r="M35" s="5" t="s">
        <v>251</v>
      </c>
    </row>
    <row r="36" customFormat="false" ht="15" hidden="false" customHeight="false" outlineLevel="0" collapsed="false">
      <c r="A36" s="5" t="s">
        <v>774</v>
      </c>
      <c r="B36" s="5" t="s">
        <v>252</v>
      </c>
      <c r="C36" s="5" t="s">
        <v>186</v>
      </c>
      <c r="D36" s="5" t="s">
        <v>253</v>
      </c>
      <c r="E36" s="5" t="s">
        <v>188</v>
      </c>
      <c r="F36" s="21" t="n">
        <v>31.79</v>
      </c>
      <c r="G36" s="21" t="n">
        <v>96</v>
      </c>
      <c r="H36" s="21" t="n">
        <v>432</v>
      </c>
      <c r="I36" s="21" t="n">
        <v>1296</v>
      </c>
      <c r="J36" s="22" t="n">
        <f aca="false">F36*G36</f>
        <v>3051.84</v>
      </c>
      <c r="K36" s="22" t="n">
        <f aca="false">F36*H36</f>
        <v>13733.28</v>
      </c>
      <c r="L36" s="22" t="n">
        <f aca="false">F36*I36</f>
        <v>41199.84</v>
      </c>
      <c r="M36" s="5" t="s">
        <v>254</v>
      </c>
    </row>
    <row r="37" customFormat="false" ht="15" hidden="false" customHeight="false" outlineLevel="0" collapsed="false">
      <c r="A37" s="5" t="s">
        <v>774</v>
      </c>
      <c r="B37" s="5" t="s">
        <v>255</v>
      </c>
      <c r="C37" s="5" t="s">
        <v>186</v>
      </c>
      <c r="D37" s="5" t="s">
        <v>256</v>
      </c>
      <c r="E37" s="5" t="s">
        <v>188</v>
      </c>
      <c r="F37" s="21" t="n">
        <v>59.3</v>
      </c>
      <c r="G37" s="21" t="n">
        <v>12</v>
      </c>
      <c r="H37" s="21" t="n">
        <v>54</v>
      </c>
      <c r="I37" s="21" t="n">
        <v>162</v>
      </c>
      <c r="J37" s="22" t="n">
        <f aca="false">F37*G37</f>
        <v>711.6</v>
      </c>
      <c r="K37" s="22" t="n">
        <f aca="false">F37*H37</f>
        <v>3202.2</v>
      </c>
      <c r="L37" s="22" t="n">
        <f aca="false">F37*I37</f>
        <v>9606.6</v>
      </c>
      <c r="M37" s="5" t="s">
        <v>257</v>
      </c>
    </row>
    <row r="38" customFormat="false" ht="15" hidden="false" customHeight="false" outlineLevel="0" collapsed="false">
      <c r="A38" s="5" t="s">
        <v>774</v>
      </c>
      <c r="B38" s="5" t="s">
        <v>258</v>
      </c>
      <c r="C38" s="5" t="s">
        <v>186</v>
      </c>
      <c r="D38" s="5" t="s">
        <v>259</v>
      </c>
      <c r="E38" s="5" t="s">
        <v>188</v>
      </c>
      <c r="F38" s="21" t="n">
        <v>58.19</v>
      </c>
      <c r="G38" s="21" t="n">
        <v>40</v>
      </c>
      <c r="H38" s="21" t="n">
        <v>180</v>
      </c>
      <c r="I38" s="21" t="n">
        <v>540</v>
      </c>
      <c r="J38" s="22" t="n">
        <f aca="false">F38*G38</f>
        <v>2327.6</v>
      </c>
      <c r="K38" s="22" t="n">
        <f aca="false">F38*H38</f>
        <v>10474.2</v>
      </c>
      <c r="L38" s="22" t="n">
        <f aca="false">F38*I38</f>
        <v>31422.6</v>
      </c>
      <c r="M38" s="5" t="s">
        <v>260</v>
      </c>
    </row>
    <row r="39" customFormat="false" ht="15" hidden="false" customHeight="false" outlineLevel="0" collapsed="false">
      <c r="A39" s="5" t="s">
        <v>774</v>
      </c>
      <c r="B39" s="5" t="s">
        <v>261</v>
      </c>
      <c r="C39" s="5" t="s">
        <v>186</v>
      </c>
      <c r="D39" s="5" t="s">
        <v>262</v>
      </c>
      <c r="E39" s="5" t="s">
        <v>188</v>
      </c>
      <c r="F39" s="21" t="n">
        <v>50.14</v>
      </c>
      <c r="G39" s="21" t="n">
        <v>40</v>
      </c>
      <c r="H39" s="21" t="n">
        <v>180</v>
      </c>
      <c r="I39" s="21" t="n">
        <v>540</v>
      </c>
      <c r="J39" s="22" t="n">
        <f aca="false">F39*G39</f>
        <v>2005.6</v>
      </c>
      <c r="K39" s="22" t="n">
        <f aca="false">F39*H39</f>
        <v>9025.2</v>
      </c>
      <c r="L39" s="22" t="n">
        <f aca="false">F39*I39</f>
        <v>27075.6</v>
      </c>
      <c r="M39" s="5" t="s">
        <v>263</v>
      </c>
    </row>
    <row r="40" customFormat="false" ht="15" hidden="false" customHeight="false" outlineLevel="0" collapsed="false">
      <c r="A40" s="5" t="s">
        <v>775</v>
      </c>
      <c r="B40" s="5" t="s">
        <v>265</v>
      </c>
      <c r="C40" s="5" t="s">
        <v>186</v>
      </c>
      <c r="D40" s="5" t="s">
        <v>266</v>
      </c>
      <c r="E40" s="5" t="s">
        <v>188</v>
      </c>
      <c r="F40" s="21" t="n">
        <v>12.33</v>
      </c>
      <c r="G40" s="21" t="n">
        <v>1200</v>
      </c>
      <c r="H40" s="21" t="n">
        <v>1800</v>
      </c>
      <c r="I40" s="21" t="n">
        <v>2700</v>
      </c>
      <c r="J40" s="22" t="n">
        <f aca="false">F40*G40</f>
        <v>14796</v>
      </c>
      <c r="K40" s="22" t="n">
        <f aca="false">F40*H40</f>
        <v>22194</v>
      </c>
      <c r="L40" s="22" t="n">
        <f aca="false">F40*I40</f>
        <v>33291</v>
      </c>
      <c r="M40" s="5" t="s">
        <v>267</v>
      </c>
    </row>
    <row r="41" customFormat="false" ht="15" hidden="false" customHeight="false" outlineLevel="0" collapsed="false">
      <c r="A41" s="5" t="s">
        <v>775</v>
      </c>
      <c r="B41" s="5" t="s">
        <v>268</v>
      </c>
      <c r="C41" s="5" t="s">
        <v>186</v>
      </c>
      <c r="D41" s="5" t="s">
        <v>269</v>
      </c>
      <c r="E41" s="5" t="s">
        <v>188</v>
      </c>
      <c r="F41" s="21" t="n">
        <v>15.25</v>
      </c>
      <c r="G41" s="21" t="n">
        <v>120</v>
      </c>
      <c r="H41" s="21" t="n">
        <v>180</v>
      </c>
      <c r="I41" s="21" t="n">
        <v>270</v>
      </c>
      <c r="J41" s="22" t="n">
        <f aca="false">F41*G41</f>
        <v>1830</v>
      </c>
      <c r="K41" s="22" t="n">
        <f aca="false">F41*H41</f>
        <v>2745</v>
      </c>
      <c r="L41" s="22" t="n">
        <f aca="false">F41*I41</f>
        <v>4117.5</v>
      </c>
      <c r="M41" s="5" t="s">
        <v>270</v>
      </c>
    </row>
    <row r="42" customFormat="false" ht="15" hidden="false" customHeight="false" outlineLevel="0" collapsed="false">
      <c r="A42" s="5" t="s">
        <v>776</v>
      </c>
      <c r="B42" s="5" t="s">
        <v>272</v>
      </c>
      <c r="C42" s="5" t="s">
        <v>186</v>
      </c>
      <c r="D42" s="5" t="s">
        <v>273</v>
      </c>
      <c r="E42" s="5" t="s">
        <v>188</v>
      </c>
      <c r="F42" s="21" t="n">
        <v>223.25</v>
      </c>
      <c r="G42" s="21" t="n">
        <v>6</v>
      </c>
      <c r="H42" s="21" t="n">
        <v>27</v>
      </c>
      <c r="I42" s="21" t="n">
        <v>81</v>
      </c>
      <c r="J42" s="22" t="n">
        <f aca="false">F42*G42</f>
        <v>1339.5</v>
      </c>
      <c r="K42" s="22" t="n">
        <f aca="false">F42*H42</f>
        <v>6027.75</v>
      </c>
      <c r="L42" s="22" t="n">
        <f aca="false">F42*I42</f>
        <v>18083.25</v>
      </c>
      <c r="M42" s="5" t="s">
        <v>274</v>
      </c>
    </row>
    <row r="43" customFormat="false" ht="15" hidden="false" customHeight="false" outlineLevel="0" collapsed="false">
      <c r="A43" s="5" t="s">
        <v>776</v>
      </c>
      <c r="B43" s="5" t="s">
        <v>275</v>
      </c>
      <c r="C43" s="5" t="s">
        <v>186</v>
      </c>
      <c r="D43" s="5" t="s">
        <v>276</v>
      </c>
      <c r="E43" s="5" t="s">
        <v>277</v>
      </c>
      <c r="F43" s="21" t="n">
        <v>1179.17</v>
      </c>
      <c r="G43" s="21" t="n">
        <v>2.67</v>
      </c>
      <c r="H43" s="21" t="n">
        <v>12</v>
      </c>
      <c r="I43" s="21" t="n">
        <v>36</v>
      </c>
      <c r="J43" s="22" t="n">
        <f aca="false">F43*G43</f>
        <v>3148.3839</v>
      </c>
      <c r="K43" s="22" t="n">
        <f aca="false">F43*H43</f>
        <v>14150.04</v>
      </c>
      <c r="L43" s="22" t="n">
        <f aca="false">F43*I43</f>
        <v>42450.12</v>
      </c>
      <c r="M43" s="5" t="s">
        <v>278</v>
      </c>
    </row>
    <row r="44" customFormat="false" ht="15" hidden="false" customHeight="false" outlineLevel="0" collapsed="false">
      <c r="A44" s="5" t="s">
        <v>777</v>
      </c>
      <c r="B44" s="5" t="s">
        <v>280</v>
      </c>
      <c r="C44" s="5" t="s">
        <v>186</v>
      </c>
      <c r="D44" s="5" t="s">
        <v>281</v>
      </c>
      <c r="E44" s="5" t="s">
        <v>277</v>
      </c>
      <c r="F44" s="21" t="n">
        <v>53.69</v>
      </c>
      <c r="G44" s="21" t="n">
        <v>13.33</v>
      </c>
      <c r="H44" s="21" t="n">
        <v>50</v>
      </c>
      <c r="I44" s="21" t="n">
        <v>150</v>
      </c>
      <c r="J44" s="22" t="n">
        <f aca="false">F44*G44</f>
        <v>715.6877</v>
      </c>
      <c r="K44" s="22" t="n">
        <f aca="false">F44*H44</f>
        <v>2684.5</v>
      </c>
      <c r="L44" s="22" t="n">
        <f aca="false">F44*I44</f>
        <v>8053.5</v>
      </c>
      <c r="M44" s="5" t="s">
        <v>282</v>
      </c>
    </row>
    <row r="45" customFormat="false" ht="15" hidden="false" customHeight="false" outlineLevel="0" collapsed="false">
      <c r="A45" s="5" t="s">
        <v>777</v>
      </c>
      <c r="B45" s="5" t="s">
        <v>283</v>
      </c>
      <c r="C45" s="5" t="s">
        <v>186</v>
      </c>
      <c r="D45" s="5" t="s">
        <v>284</v>
      </c>
      <c r="E45" s="5" t="s">
        <v>277</v>
      </c>
      <c r="F45" s="21" t="n">
        <v>30.86</v>
      </c>
      <c r="G45" s="21" t="n">
        <v>10</v>
      </c>
      <c r="H45" s="21" t="n">
        <v>37.5</v>
      </c>
      <c r="I45" s="21" t="n">
        <v>112.5</v>
      </c>
      <c r="J45" s="22" t="n">
        <f aca="false">F45*G45</f>
        <v>308.6</v>
      </c>
      <c r="K45" s="22" t="n">
        <f aca="false">F45*H45</f>
        <v>1157.25</v>
      </c>
      <c r="L45" s="22" t="n">
        <f aca="false">F45*I45</f>
        <v>3471.75</v>
      </c>
      <c r="M45" s="5" t="s">
        <v>285</v>
      </c>
    </row>
    <row r="46" customFormat="false" ht="15" hidden="false" customHeight="false" outlineLevel="0" collapsed="false">
      <c r="A46" s="5" t="s">
        <v>777</v>
      </c>
      <c r="B46" s="5" t="s">
        <v>286</v>
      </c>
      <c r="C46" s="5" t="s">
        <v>186</v>
      </c>
      <c r="D46" s="5" t="s">
        <v>287</v>
      </c>
      <c r="E46" s="5" t="s">
        <v>194</v>
      </c>
      <c r="F46" s="21" t="n">
        <v>5.48</v>
      </c>
      <c r="G46" s="21" t="n">
        <v>960</v>
      </c>
      <c r="H46" s="21" t="n">
        <v>3600</v>
      </c>
      <c r="I46" s="21" t="n">
        <v>10800</v>
      </c>
      <c r="J46" s="22" t="n">
        <f aca="false">F46*G46</f>
        <v>5260.8</v>
      </c>
      <c r="K46" s="22" t="n">
        <f aca="false">F46*H46</f>
        <v>19728</v>
      </c>
      <c r="L46" s="22" t="n">
        <f aca="false">F46*I46</f>
        <v>59184</v>
      </c>
      <c r="M46" s="5" t="s">
        <v>288</v>
      </c>
    </row>
    <row r="47" customFormat="false" ht="15" hidden="false" customHeight="false" outlineLevel="0" collapsed="false">
      <c r="A47" s="5" t="s">
        <v>777</v>
      </c>
      <c r="B47" s="5" t="s">
        <v>289</v>
      </c>
      <c r="C47" s="5" t="s">
        <v>186</v>
      </c>
      <c r="D47" s="5" t="s">
        <v>290</v>
      </c>
      <c r="E47" s="5" t="s">
        <v>194</v>
      </c>
      <c r="F47" s="21" t="n">
        <v>11.2</v>
      </c>
      <c r="G47" s="21" t="n">
        <v>320</v>
      </c>
      <c r="H47" s="21" t="n">
        <v>1200</v>
      </c>
      <c r="I47" s="21" t="n">
        <v>3600</v>
      </c>
      <c r="J47" s="22" t="n">
        <f aca="false">F47*G47</f>
        <v>3584</v>
      </c>
      <c r="K47" s="22" t="n">
        <f aca="false">F47*H47</f>
        <v>13440</v>
      </c>
      <c r="L47" s="22" t="n">
        <f aca="false">F47*I47</f>
        <v>40320</v>
      </c>
      <c r="M47" s="5" t="s">
        <v>291</v>
      </c>
    </row>
    <row r="48" customFormat="false" ht="15" hidden="false" customHeight="false" outlineLevel="0" collapsed="false">
      <c r="A48" s="5" t="s">
        <v>777</v>
      </c>
      <c r="B48" s="5" t="s">
        <v>292</v>
      </c>
      <c r="C48" s="5" t="s">
        <v>186</v>
      </c>
      <c r="D48" s="5" t="s">
        <v>293</v>
      </c>
      <c r="E48" s="5" t="s">
        <v>277</v>
      </c>
      <c r="F48" s="21" t="n">
        <v>623.29</v>
      </c>
      <c r="G48" s="21" t="n">
        <v>1</v>
      </c>
      <c r="H48" s="21" t="n">
        <v>2</v>
      </c>
      <c r="I48" s="21" t="n">
        <v>6</v>
      </c>
      <c r="J48" s="22" t="n">
        <f aca="false">F48*G48</f>
        <v>623.29</v>
      </c>
      <c r="K48" s="22" t="n">
        <f aca="false">F48*H48</f>
        <v>1246.58</v>
      </c>
      <c r="L48" s="22" t="n">
        <f aca="false">F48*I48</f>
        <v>3739.74</v>
      </c>
      <c r="M48" s="5" t="s">
        <v>294</v>
      </c>
    </row>
    <row r="49" customFormat="false" ht="15" hidden="false" customHeight="false" outlineLevel="0" collapsed="false">
      <c r="A49" s="5" t="s">
        <v>777</v>
      </c>
      <c r="B49" s="5" t="s">
        <v>295</v>
      </c>
      <c r="C49" s="5" t="s">
        <v>186</v>
      </c>
      <c r="D49" s="5" t="s">
        <v>296</v>
      </c>
      <c r="E49" s="5" t="s">
        <v>277</v>
      </c>
      <c r="F49" s="21" t="n">
        <v>630.3</v>
      </c>
      <c r="G49" s="21" t="n">
        <v>2</v>
      </c>
      <c r="H49" s="21" t="n">
        <v>7.5</v>
      </c>
      <c r="I49" s="21" t="n">
        <v>22.5</v>
      </c>
      <c r="J49" s="22" t="n">
        <f aca="false">F49*G49</f>
        <v>1260.6</v>
      </c>
      <c r="K49" s="22" t="n">
        <f aca="false">F49*H49</f>
        <v>4727.25</v>
      </c>
      <c r="L49" s="22" t="n">
        <f aca="false">F49*I49</f>
        <v>14181.75</v>
      </c>
      <c r="M49" s="5" t="s">
        <v>297</v>
      </c>
    </row>
    <row r="50" customFormat="false" ht="15" hidden="false" customHeight="false" outlineLevel="0" collapsed="false">
      <c r="A50" s="5" t="s">
        <v>777</v>
      </c>
      <c r="B50" s="5" t="s">
        <v>298</v>
      </c>
      <c r="C50" s="5" t="s">
        <v>186</v>
      </c>
      <c r="D50" s="5" t="s">
        <v>299</v>
      </c>
      <c r="E50" s="5" t="s">
        <v>277</v>
      </c>
      <c r="F50" s="21" t="n">
        <v>368.02</v>
      </c>
      <c r="G50" s="21" t="n">
        <v>2</v>
      </c>
      <c r="H50" s="21" t="n">
        <v>7.5</v>
      </c>
      <c r="I50" s="21" t="n">
        <v>22.5</v>
      </c>
      <c r="J50" s="22" t="n">
        <f aca="false">F50*G50</f>
        <v>736.04</v>
      </c>
      <c r="K50" s="22" t="n">
        <f aca="false">F50*H50</f>
        <v>2760.15</v>
      </c>
      <c r="L50" s="22" t="n">
        <f aca="false">F50*I50</f>
        <v>8280.45</v>
      </c>
      <c r="M50" s="5" t="s">
        <v>300</v>
      </c>
    </row>
    <row r="51" customFormat="false" ht="15" hidden="false" customHeight="false" outlineLevel="0" collapsed="false">
      <c r="A51" s="5" t="s">
        <v>777</v>
      </c>
      <c r="B51" s="5" t="s">
        <v>301</v>
      </c>
      <c r="C51" s="5" t="s">
        <v>186</v>
      </c>
      <c r="D51" s="5" t="s">
        <v>302</v>
      </c>
      <c r="E51" s="5" t="s">
        <v>194</v>
      </c>
      <c r="F51" s="21" t="n">
        <v>43.26</v>
      </c>
      <c r="G51" s="21" t="n">
        <v>24</v>
      </c>
      <c r="H51" s="21" t="n">
        <v>90</v>
      </c>
      <c r="I51" s="21" t="n">
        <v>270</v>
      </c>
      <c r="J51" s="22" t="n">
        <f aca="false">F51*G51</f>
        <v>1038.24</v>
      </c>
      <c r="K51" s="22" t="n">
        <f aca="false">F51*H51</f>
        <v>3893.4</v>
      </c>
      <c r="L51" s="22" t="n">
        <f aca="false">F51*I51</f>
        <v>11680.2</v>
      </c>
      <c r="M51" s="5" t="s">
        <v>303</v>
      </c>
    </row>
    <row r="52" customFormat="false" ht="15" hidden="false" customHeight="false" outlineLevel="0" collapsed="false">
      <c r="A52" s="5" t="s">
        <v>778</v>
      </c>
      <c r="B52" s="5" t="s">
        <v>305</v>
      </c>
      <c r="C52" s="5" t="s">
        <v>186</v>
      </c>
      <c r="D52" s="5" t="s">
        <v>306</v>
      </c>
      <c r="E52" s="5" t="s">
        <v>277</v>
      </c>
      <c r="F52" s="21" t="n">
        <v>288.1</v>
      </c>
      <c r="G52" s="21" t="n">
        <v>2.67</v>
      </c>
      <c r="H52" s="21" t="n">
        <v>4</v>
      </c>
      <c r="I52" s="21" t="n">
        <v>6</v>
      </c>
      <c r="J52" s="22" t="n">
        <f aca="false">F52*G52</f>
        <v>769.227</v>
      </c>
      <c r="K52" s="22" t="n">
        <f aca="false">F52*H52</f>
        <v>1152.4</v>
      </c>
      <c r="L52" s="22" t="n">
        <f aca="false">F52*I52</f>
        <v>1728.6</v>
      </c>
      <c r="M52" s="5" t="s">
        <v>307</v>
      </c>
    </row>
    <row r="53" customFormat="false" ht="15" hidden="false" customHeight="false" outlineLevel="0" collapsed="false">
      <c r="A53" s="5" t="s">
        <v>778</v>
      </c>
      <c r="B53" s="5" t="s">
        <v>308</v>
      </c>
      <c r="C53" s="5" t="s">
        <v>186</v>
      </c>
      <c r="D53" s="5" t="s">
        <v>309</v>
      </c>
      <c r="E53" s="5" t="s">
        <v>277</v>
      </c>
      <c r="F53" s="21" t="n">
        <v>17.96</v>
      </c>
      <c r="G53" s="21" t="n">
        <v>8</v>
      </c>
      <c r="H53" s="21" t="n">
        <v>12</v>
      </c>
      <c r="I53" s="21" t="n">
        <v>18</v>
      </c>
      <c r="J53" s="22" t="n">
        <f aca="false">F53*G53</f>
        <v>143.68</v>
      </c>
      <c r="K53" s="22" t="n">
        <f aca="false">F53*H53</f>
        <v>215.52</v>
      </c>
      <c r="L53" s="22" t="n">
        <f aca="false">F53*I53</f>
        <v>323.28</v>
      </c>
      <c r="M53" s="5" t="s">
        <v>310</v>
      </c>
    </row>
    <row r="54" customFormat="false" ht="15" hidden="false" customHeight="false" outlineLevel="0" collapsed="false">
      <c r="A54" s="5" t="s">
        <v>778</v>
      </c>
      <c r="B54" s="5" t="s">
        <v>311</v>
      </c>
      <c r="C54" s="5" t="s">
        <v>192</v>
      </c>
      <c r="D54" s="5" t="s">
        <v>312</v>
      </c>
      <c r="E54" s="5" t="s">
        <v>277</v>
      </c>
      <c r="F54" s="21" t="n">
        <v>20.47</v>
      </c>
      <c r="G54" s="21" t="n">
        <v>8</v>
      </c>
      <c r="H54" s="21" t="n">
        <v>12</v>
      </c>
      <c r="I54" s="21" t="n">
        <v>18</v>
      </c>
      <c r="J54" s="22" t="n">
        <f aca="false">F54*G54</f>
        <v>163.76</v>
      </c>
      <c r="K54" s="22" t="n">
        <f aca="false">F54*H54</f>
        <v>245.64</v>
      </c>
      <c r="L54" s="22" t="n">
        <f aca="false">F54*I54</f>
        <v>368.46</v>
      </c>
      <c r="M54" s="5" t="s">
        <v>313</v>
      </c>
    </row>
    <row r="55" customFormat="false" ht="15" hidden="false" customHeight="false" outlineLevel="0" collapsed="false">
      <c r="A55" s="5" t="s">
        <v>779</v>
      </c>
      <c r="B55" s="5" t="s">
        <v>315</v>
      </c>
      <c r="C55" s="5" t="s">
        <v>186</v>
      </c>
      <c r="D55" s="5" t="s">
        <v>316</v>
      </c>
      <c r="E55" s="5" t="s">
        <v>317</v>
      </c>
      <c r="F55" s="21" t="n">
        <v>9.88</v>
      </c>
      <c r="G55" s="21" t="n">
        <v>20</v>
      </c>
      <c r="H55" s="21" t="n">
        <v>30</v>
      </c>
      <c r="I55" s="21" t="n">
        <v>45</v>
      </c>
      <c r="J55" s="22" t="n">
        <f aca="false">F55*G55</f>
        <v>197.6</v>
      </c>
      <c r="K55" s="22" t="n">
        <f aca="false">F55*H55</f>
        <v>296.4</v>
      </c>
      <c r="L55" s="22" t="n">
        <f aca="false">F55*I55</f>
        <v>444.6</v>
      </c>
      <c r="M55" s="5" t="s">
        <v>318</v>
      </c>
    </row>
    <row r="56" customFormat="false" ht="15" hidden="false" customHeight="false" outlineLevel="0" collapsed="false">
      <c r="A56" s="5" t="s">
        <v>779</v>
      </c>
      <c r="B56" s="5" t="s">
        <v>319</v>
      </c>
      <c r="C56" s="5" t="s">
        <v>186</v>
      </c>
      <c r="D56" s="5" t="s">
        <v>320</v>
      </c>
      <c r="E56" s="5" t="s">
        <v>321</v>
      </c>
      <c r="F56" s="21" t="n">
        <v>2.83</v>
      </c>
      <c r="G56" s="21" t="n">
        <v>200</v>
      </c>
      <c r="H56" s="21" t="n">
        <v>300</v>
      </c>
      <c r="I56" s="21" t="n">
        <v>450</v>
      </c>
      <c r="J56" s="22" t="n">
        <f aca="false">F56*G56</f>
        <v>566</v>
      </c>
      <c r="K56" s="22" t="n">
        <f aca="false">F56*H56</f>
        <v>849</v>
      </c>
      <c r="L56" s="22" t="n">
        <f aca="false">F56*I56</f>
        <v>1273.5</v>
      </c>
      <c r="M56" s="5" t="s">
        <v>322</v>
      </c>
    </row>
    <row r="57" customFormat="false" ht="15" hidden="false" customHeight="false" outlineLevel="0" collapsed="false">
      <c r="I57" s="7" t="s">
        <v>323</v>
      </c>
      <c r="J57" s="23" t="n">
        <f aca="false">SUM(J17:J56)</f>
        <v>222351.0386</v>
      </c>
      <c r="K57" s="23" t="n">
        <f aca="false">SUM(K17:K56)</f>
        <v>431425.24</v>
      </c>
      <c r="L57" s="23" t="n">
        <f aca="false">SUM(L17:L56)</f>
        <v>907015.5</v>
      </c>
    </row>
    <row r="58" customFormat="false" ht="15" hidden="false" customHeight="false" outlineLevel="0" collapsed="false">
      <c r="I58" s="7" t="s">
        <v>324</v>
      </c>
      <c r="J58" s="24" t="n">
        <f aca="false">PARAMETROS!$B$6</f>
        <v>0.2034</v>
      </c>
      <c r="K58" s="24" t="n">
        <f aca="false">PARAMETROS!$C$6</f>
        <v>0.2212</v>
      </c>
      <c r="L58" s="24" t="n">
        <f aca="false">PARAMETROS!$D$6</f>
        <v>0.25</v>
      </c>
    </row>
    <row r="59" customFormat="false" ht="15" hidden="false" customHeight="false" outlineLevel="0" collapsed="false">
      <c r="I59" s="7" t="s">
        <v>325</v>
      </c>
      <c r="J59" s="24" t="n">
        <f aca="false">PARAMETROS!$B$8</f>
        <v>0.05</v>
      </c>
      <c r="K59" s="24" t="n">
        <f aca="false">PARAMETROS!$C$8</f>
        <v>0.1</v>
      </c>
      <c r="L59" s="24" t="n">
        <f aca="false">PARAMETROS!$D$8</f>
        <v>0.15</v>
      </c>
    </row>
    <row r="60" customFormat="false" ht="15" hidden="false" customHeight="false" outlineLevel="0" collapsed="false">
      <c r="I60" s="7" t="s">
        <v>155</v>
      </c>
      <c r="J60" s="25" t="n">
        <f aca="false">PARAMETROS!$B$9</f>
        <v>1</v>
      </c>
      <c r="K60" s="25" t="n">
        <f aca="false">PARAMETROS!$C$9</f>
        <v>1</v>
      </c>
      <c r="L60" s="25" t="n">
        <f aca="false">PARAMETROS!$D$9</f>
        <v>1.1</v>
      </c>
    </row>
    <row r="61" customFormat="false" ht="15" hidden="false" customHeight="false" outlineLevel="0" collapsed="false">
      <c r="I61" s="7" t="s">
        <v>326</v>
      </c>
      <c r="J61" s="8" t="n">
        <f aca="false">J57*(1+J58)*(1+J59)*J60</f>
        <v>280956.101843802</v>
      </c>
      <c r="K61" s="8" t="n">
        <f aca="false">K57*(1+K58)*(1+K59)*K60</f>
        <v>579542.1533968</v>
      </c>
      <c r="L61" s="8" t="n">
        <f aca="false">L57*(1+L58)*(1+L59)*L60</f>
        <v>1434218.259375</v>
      </c>
    </row>
    <row r="63" customFormat="false" ht="15" hidden="false" customHeight="false" outlineLevel="0" collapsed="false">
      <c r="A63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780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89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86</v>
      </c>
    </row>
    <row r="7" customFormat="false" ht="15" hidden="false" customHeight="false" outlineLevel="0" collapsed="false">
      <c r="A7" s="7" t="s">
        <v>8</v>
      </c>
      <c r="B7" s="10" t="s">
        <v>28</v>
      </c>
    </row>
    <row r="8" customFormat="false" ht="15" hidden="false" customHeight="false" outlineLevel="0" collapsed="false">
      <c r="A8" s="7" t="s">
        <v>160</v>
      </c>
      <c r="B8" s="10" t="s">
        <v>781</v>
      </c>
    </row>
    <row r="9" customFormat="false" ht="15" hidden="false" customHeight="false" outlineLevel="0" collapsed="false">
      <c r="A9" s="7" t="s">
        <v>9</v>
      </c>
      <c r="B9" s="10" t="s">
        <v>91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404</v>
      </c>
    </row>
    <row r="12" customFormat="false" ht="15" hidden="false" customHeight="false" outlineLevel="0" collapsed="false">
      <c r="A12" s="7" t="s">
        <v>166</v>
      </c>
      <c r="B12" s="20" t="s">
        <v>782</v>
      </c>
    </row>
    <row r="13" customFormat="false" ht="15" hidden="false" customHeight="false" outlineLevel="0" collapsed="false">
      <c r="B13" s="20" t="s">
        <v>783</v>
      </c>
    </row>
    <row r="14" customFormat="false" ht="15" hidden="false" customHeight="false" outlineLevel="0" collapsed="false">
      <c r="B14" s="20" t="s">
        <v>407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408</v>
      </c>
    </row>
    <row r="18" customFormat="false" ht="15" hidden="false" customHeight="false" outlineLevel="0" collapsed="false">
      <c r="A18" s="5" t="s">
        <v>409</v>
      </c>
      <c r="B18" s="5" t="s">
        <v>410</v>
      </c>
      <c r="C18" s="5" t="s">
        <v>186</v>
      </c>
      <c r="D18" s="5" t="s">
        <v>411</v>
      </c>
      <c r="E18" s="5" t="s">
        <v>317</v>
      </c>
      <c r="F18" s="21" t="n">
        <v>10.58</v>
      </c>
      <c r="G18" s="21" t="n">
        <v>576</v>
      </c>
      <c r="H18" s="21" t="n">
        <v>0</v>
      </c>
      <c r="I18" s="21" t="n">
        <v>0</v>
      </c>
      <c r="J18" s="22" t="n">
        <f aca="false">F18*G18</f>
        <v>6094.08</v>
      </c>
      <c r="K18" s="22" t="n">
        <f aca="false">F18*H18</f>
        <v>0</v>
      </c>
      <c r="L18" s="22" t="n">
        <f aca="false">F18*I18</f>
        <v>0</v>
      </c>
      <c r="M18" s="5" t="s">
        <v>784</v>
      </c>
    </row>
    <row r="19" customFormat="false" ht="15" hidden="false" customHeight="false" outlineLevel="0" collapsed="false">
      <c r="A19" s="5" t="s">
        <v>409</v>
      </c>
      <c r="B19" s="5" t="s">
        <v>487</v>
      </c>
      <c r="C19" s="5" t="s">
        <v>186</v>
      </c>
      <c r="D19" s="5" t="s">
        <v>488</v>
      </c>
      <c r="E19" s="5" t="s">
        <v>194</v>
      </c>
      <c r="F19" s="21" t="n">
        <v>351.67</v>
      </c>
      <c r="G19" s="21" t="n">
        <v>300</v>
      </c>
      <c r="H19" s="21" t="n">
        <v>500</v>
      </c>
      <c r="I19" s="21" t="n">
        <v>0</v>
      </c>
      <c r="J19" s="22" t="n">
        <f aca="false">F19*G19</f>
        <v>105501</v>
      </c>
      <c r="K19" s="22" t="n">
        <f aca="false">F19*H19</f>
        <v>175835</v>
      </c>
      <c r="L19" s="22" t="n">
        <f aca="false">F19*I19</f>
        <v>0</v>
      </c>
      <c r="M19" s="5" t="s">
        <v>489</v>
      </c>
    </row>
    <row r="20" customFormat="false" ht="15" hidden="false" customHeight="false" outlineLevel="0" collapsed="false">
      <c r="A20" s="5" t="s">
        <v>409</v>
      </c>
      <c r="B20" s="5" t="s">
        <v>416</v>
      </c>
      <c r="C20" s="5" t="s">
        <v>186</v>
      </c>
      <c r="D20" s="5" t="s">
        <v>417</v>
      </c>
      <c r="E20" s="5" t="s">
        <v>317</v>
      </c>
      <c r="F20" s="21" t="n">
        <v>20.26</v>
      </c>
      <c r="G20" s="21" t="n">
        <v>460.55</v>
      </c>
      <c r="H20" s="21" t="n">
        <v>767.58</v>
      </c>
      <c r="I20" s="21" t="n">
        <v>1507.06</v>
      </c>
      <c r="J20" s="22" t="n">
        <f aca="false">F20*G20</f>
        <v>9330.743</v>
      </c>
      <c r="K20" s="22" t="n">
        <f aca="false">F20*H20</f>
        <v>15551.1708</v>
      </c>
      <c r="L20" s="22" t="n">
        <f aca="false">F20*I20</f>
        <v>30533.0356</v>
      </c>
      <c r="M20" s="5" t="s">
        <v>418</v>
      </c>
    </row>
    <row r="21" customFormat="false" ht="15" hidden="false" customHeight="false" outlineLevel="0" collapsed="false">
      <c r="A21" s="5" t="s">
        <v>409</v>
      </c>
      <c r="B21" s="5" t="s">
        <v>490</v>
      </c>
      <c r="C21" s="5" t="s">
        <v>186</v>
      </c>
      <c r="D21" s="5" t="s">
        <v>491</v>
      </c>
      <c r="E21" s="5" t="s">
        <v>277</v>
      </c>
      <c r="F21" s="21" t="n">
        <v>1613.82</v>
      </c>
      <c r="G21" s="21" t="n">
        <v>9</v>
      </c>
      <c r="H21" s="21" t="n">
        <v>14</v>
      </c>
      <c r="I21" s="21" t="n">
        <v>0</v>
      </c>
      <c r="J21" s="22" t="n">
        <f aca="false">F21*G21</f>
        <v>14524.38</v>
      </c>
      <c r="K21" s="22" t="n">
        <f aca="false">F21*H21</f>
        <v>22593.48</v>
      </c>
      <c r="L21" s="22" t="n">
        <f aca="false">F21*I21</f>
        <v>0</v>
      </c>
      <c r="M21" s="5" t="s">
        <v>421</v>
      </c>
    </row>
    <row r="22" customFormat="false" ht="15" hidden="false" customHeight="false" outlineLevel="0" collapsed="false">
      <c r="A22" s="5" t="s">
        <v>409</v>
      </c>
      <c r="B22" s="5" t="s">
        <v>492</v>
      </c>
      <c r="C22" s="5" t="s">
        <v>186</v>
      </c>
      <c r="D22" s="5" t="s">
        <v>493</v>
      </c>
      <c r="E22" s="5" t="s">
        <v>194</v>
      </c>
      <c r="F22" s="21" t="n">
        <v>634.89</v>
      </c>
      <c r="G22" s="21" t="n">
        <v>4.5</v>
      </c>
      <c r="H22" s="21" t="n">
        <v>7</v>
      </c>
      <c r="I22" s="21" t="n">
        <v>0</v>
      </c>
      <c r="J22" s="22" t="n">
        <f aca="false">F22*G22</f>
        <v>2857.005</v>
      </c>
      <c r="K22" s="22" t="n">
        <f aca="false">F22*H22</f>
        <v>4444.23</v>
      </c>
      <c r="L22" s="22" t="n">
        <f aca="false">F22*I22</f>
        <v>0</v>
      </c>
      <c r="M22" s="5" t="s">
        <v>424</v>
      </c>
    </row>
    <row r="23" customFormat="false" ht="15" hidden="false" customHeight="false" outlineLevel="0" collapsed="false">
      <c r="A23" s="5" t="s">
        <v>409</v>
      </c>
      <c r="B23" s="5" t="s">
        <v>425</v>
      </c>
      <c r="C23" s="5" t="s">
        <v>186</v>
      </c>
      <c r="D23" s="5" t="s">
        <v>426</v>
      </c>
      <c r="E23" s="5" t="s">
        <v>277</v>
      </c>
      <c r="F23" s="21" t="n">
        <v>1812.94</v>
      </c>
      <c r="G23" s="21" t="n">
        <v>16</v>
      </c>
      <c r="H23" s="21" t="n">
        <v>26</v>
      </c>
      <c r="I23" s="21" t="n">
        <v>40</v>
      </c>
      <c r="J23" s="22" t="n">
        <f aca="false">F23*G23</f>
        <v>29007.04</v>
      </c>
      <c r="K23" s="22" t="n">
        <f aca="false">F23*H23</f>
        <v>47136.44</v>
      </c>
      <c r="L23" s="22" t="n">
        <f aca="false">F23*I23</f>
        <v>72517.6</v>
      </c>
      <c r="M23" s="5" t="s">
        <v>427</v>
      </c>
    </row>
    <row r="24" customFormat="false" ht="15" hidden="false" customHeight="false" outlineLevel="0" collapsed="false">
      <c r="A24" s="5" t="s">
        <v>409</v>
      </c>
      <c r="B24" s="5" t="s">
        <v>428</v>
      </c>
      <c r="C24" s="5" t="s">
        <v>186</v>
      </c>
      <c r="D24" s="5" t="s">
        <v>429</v>
      </c>
      <c r="E24" s="5" t="s">
        <v>194</v>
      </c>
      <c r="F24" s="21" t="n">
        <v>188.74</v>
      </c>
      <c r="G24" s="21" t="n">
        <v>64</v>
      </c>
      <c r="H24" s="21" t="n">
        <v>104</v>
      </c>
      <c r="I24" s="21" t="n">
        <v>160</v>
      </c>
      <c r="J24" s="22" t="n">
        <f aca="false">F24*G24</f>
        <v>12079.36</v>
      </c>
      <c r="K24" s="22" t="n">
        <f aca="false">F24*H24</f>
        <v>19628.96</v>
      </c>
      <c r="L24" s="22" t="n">
        <f aca="false">F24*I24</f>
        <v>30198.4</v>
      </c>
      <c r="M24" s="5" t="s">
        <v>430</v>
      </c>
    </row>
    <row r="25" customFormat="false" ht="15" hidden="false" customHeight="false" outlineLevel="0" collapsed="false">
      <c r="A25" s="5" t="s">
        <v>409</v>
      </c>
      <c r="B25" s="5" t="s">
        <v>315</v>
      </c>
      <c r="C25" s="5" t="s">
        <v>186</v>
      </c>
      <c r="D25" s="5" t="s">
        <v>316</v>
      </c>
      <c r="E25" s="5" t="s">
        <v>317</v>
      </c>
      <c r="F25" s="21" t="n">
        <v>9.88</v>
      </c>
      <c r="G25" s="21" t="n">
        <v>115.45</v>
      </c>
      <c r="H25" s="21" t="n">
        <v>192.42</v>
      </c>
      <c r="I25" s="21" t="n">
        <v>508.94</v>
      </c>
      <c r="J25" s="22" t="n">
        <f aca="false">F25*G25</f>
        <v>1140.646</v>
      </c>
      <c r="K25" s="22" t="n">
        <f aca="false">F25*H25</f>
        <v>1901.1096</v>
      </c>
      <c r="L25" s="22" t="n">
        <f aca="false">F25*I25</f>
        <v>5028.3272</v>
      </c>
      <c r="M25" s="5" t="s">
        <v>431</v>
      </c>
    </row>
    <row r="26" customFormat="false" ht="15" hidden="false" customHeight="false" outlineLevel="0" collapsed="false">
      <c r="A26" s="5" t="s">
        <v>409</v>
      </c>
      <c r="B26" s="5" t="s">
        <v>319</v>
      </c>
      <c r="C26" s="5" t="s">
        <v>186</v>
      </c>
      <c r="D26" s="5" t="s">
        <v>320</v>
      </c>
      <c r="E26" s="5" t="s">
        <v>321</v>
      </c>
      <c r="F26" s="21" t="n">
        <v>2.83</v>
      </c>
      <c r="G26" s="21" t="n">
        <v>1154.54</v>
      </c>
      <c r="H26" s="21" t="n">
        <v>1924.23</v>
      </c>
      <c r="I26" s="21" t="n">
        <v>5089.38</v>
      </c>
      <c r="J26" s="22" t="n">
        <f aca="false">F26*G26</f>
        <v>3267.3482</v>
      </c>
      <c r="K26" s="22" t="n">
        <f aca="false">F26*H26</f>
        <v>5445.5709</v>
      </c>
      <c r="L26" s="22" t="n">
        <f aca="false">F26*I26</f>
        <v>14402.9454</v>
      </c>
      <c r="M26" s="5" t="s">
        <v>432</v>
      </c>
    </row>
    <row r="27" customFormat="false" ht="15" hidden="false" customHeight="false" outlineLevel="0" collapsed="false">
      <c r="A27" s="5" t="s">
        <v>433</v>
      </c>
      <c r="B27" s="5" t="s">
        <v>434</v>
      </c>
      <c r="C27" s="5" t="s">
        <v>186</v>
      </c>
      <c r="D27" s="5" t="s">
        <v>435</v>
      </c>
      <c r="E27" s="5" t="s">
        <v>317</v>
      </c>
      <c r="F27" s="21" t="n">
        <v>232.27</v>
      </c>
      <c r="G27" s="21" t="n">
        <v>84</v>
      </c>
      <c r="H27" s="21" t="n">
        <v>140</v>
      </c>
      <c r="I27" s="21" t="n">
        <v>0</v>
      </c>
      <c r="J27" s="22" t="n">
        <f aca="false">F27*G27</f>
        <v>19510.68</v>
      </c>
      <c r="K27" s="22" t="n">
        <f aca="false">F27*H27</f>
        <v>32517.8</v>
      </c>
      <c r="L27" s="22" t="n">
        <f aca="false">F27*I27</f>
        <v>0</v>
      </c>
      <c r="M27" s="5" t="s">
        <v>494</v>
      </c>
    </row>
    <row r="28" customFormat="false" ht="15" hidden="false" customHeight="false" outlineLevel="0" collapsed="false">
      <c r="A28" s="5" t="s">
        <v>433</v>
      </c>
      <c r="B28" s="5" t="s">
        <v>437</v>
      </c>
      <c r="C28" s="5" t="s">
        <v>186</v>
      </c>
      <c r="D28" s="5" t="s">
        <v>438</v>
      </c>
      <c r="E28" s="5" t="s">
        <v>317</v>
      </c>
      <c r="F28" s="21" t="n">
        <v>2136.03</v>
      </c>
      <c r="G28" s="21" t="n">
        <v>21</v>
      </c>
      <c r="H28" s="21" t="n">
        <v>35</v>
      </c>
      <c r="I28" s="21" t="n">
        <v>64</v>
      </c>
      <c r="J28" s="22" t="n">
        <f aca="false">F28*G28</f>
        <v>44856.63</v>
      </c>
      <c r="K28" s="22" t="n">
        <f aca="false">F28*H28</f>
        <v>74761.05</v>
      </c>
      <c r="L28" s="22" t="n">
        <f aca="false">F28*I28</f>
        <v>136705.92</v>
      </c>
      <c r="M28" s="5" t="s">
        <v>439</v>
      </c>
    </row>
    <row r="29" customFormat="false" ht="15" hidden="false" customHeight="false" outlineLevel="0" collapsed="false">
      <c r="A29" s="5" t="s">
        <v>409</v>
      </c>
      <c r="B29" s="5" t="s">
        <v>410</v>
      </c>
      <c r="C29" s="5" t="s">
        <v>186</v>
      </c>
      <c r="D29" s="5" t="s">
        <v>411</v>
      </c>
      <c r="E29" s="5" t="s">
        <v>317</v>
      </c>
      <c r="F29" s="21" t="n">
        <v>10.58</v>
      </c>
      <c r="G29" s="21" t="n">
        <v>0</v>
      </c>
      <c r="H29" s="21" t="n">
        <v>960</v>
      </c>
      <c r="I29" s="21" t="n">
        <v>0</v>
      </c>
      <c r="J29" s="22" t="n">
        <f aca="false">F29*G29</f>
        <v>0</v>
      </c>
      <c r="K29" s="22" t="n">
        <f aca="false">F29*H29</f>
        <v>10156.8</v>
      </c>
      <c r="L29" s="22" t="n">
        <f aca="false">F29*I29</f>
        <v>0</v>
      </c>
      <c r="M29" s="5" t="s">
        <v>785</v>
      </c>
    </row>
    <row r="30" customFormat="false" ht="15" hidden="false" customHeight="false" outlineLevel="0" collapsed="false">
      <c r="A30" s="5" t="s">
        <v>409</v>
      </c>
      <c r="B30" s="5" t="s">
        <v>410</v>
      </c>
      <c r="C30" s="5" t="s">
        <v>186</v>
      </c>
      <c r="D30" s="5" t="s">
        <v>411</v>
      </c>
      <c r="E30" s="5" t="s">
        <v>317</v>
      </c>
      <c r="F30" s="21" t="n">
        <v>10.58</v>
      </c>
      <c r="G30" s="21" t="n">
        <v>0</v>
      </c>
      <c r="H30" s="21" t="n">
        <v>0</v>
      </c>
      <c r="I30" s="21" t="n">
        <v>2016</v>
      </c>
      <c r="J30" s="22" t="n">
        <f aca="false">F30*G30</f>
        <v>0</v>
      </c>
      <c r="K30" s="22" t="n">
        <f aca="false">F30*H30</f>
        <v>0</v>
      </c>
      <c r="L30" s="22" t="n">
        <f aca="false">F30*I30</f>
        <v>21329.28</v>
      </c>
      <c r="M30" s="5" t="s">
        <v>786</v>
      </c>
    </row>
    <row r="31" customFormat="false" ht="15" hidden="false" customHeight="false" outlineLevel="0" collapsed="false">
      <c r="A31" s="5" t="s">
        <v>409</v>
      </c>
      <c r="B31" s="5" t="s">
        <v>413</v>
      </c>
      <c r="C31" s="5" t="s">
        <v>186</v>
      </c>
      <c r="D31" s="5" t="s">
        <v>414</v>
      </c>
      <c r="E31" s="5" t="s">
        <v>194</v>
      </c>
      <c r="F31" s="21" t="n">
        <v>567.96</v>
      </c>
      <c r="G31" s="21" t="n">
        <v>0</v>
      </c>
      <c r="H31" s="21" t="n">
        <v>0</v>
      </c>
      <c r="I31" s="21" t="n">
        <v>800</v>
      </c>
      <c r="J31" s="22" t="n">
        <f aca="false">F31*G31</f>
        <v>0</v>
      </c>
      <c r="K31" s="22" t="n">
        <f aca="false">F31*H31</f>
        <v>0</v>
      </c>
      <c r="L31" s="22" t="n">
        <f aca="false">F31*I31</f>
        <v>454368</v>
      </c>
      <c r="M31" s="5" t="s">
        <v>415</v>
      </c>
    </row>
    <row r="32" customFormat="false" ht="15" hidden="false" customHeight="false" outlineLevel="0" collapsed="false">
      <c r="A32" s="5" t="s">
        <v>409</v>
      </c>
      <c r="B32" s="5" t="s">
        <v>419</v>
      </c>
      <c r="C32" s="5" t="s">
        <v>186</v>
      </c>
      <c r="D32" s="5" t="s">
        <v>420</v>
      </c>
      <c r="E32" s="5" t="s">
        <v>277</v>
      </c>
      <c r="F32" s="21" t="n">
        <v>2008.56</v>
      </c>
      <c r="G32" s="21" t="n">
        <v>0</v>
      </c>
      <c r="H32" s="21" t="n">
        <v>0</v>
      </c>
      <c r="I32" s="21" t="n">
        <v>21</v>
      </c>
      <c r="J32" s="22" t="n">
        <f aca="false">F32*G32</f>
        <v>0</v>
      </c>
      <c r="K32" s="22" t="n">
        <f aca="false">F32*H32</f>
        <v>0</v>
      </c>
      <c r="L32" s="22" t="n">
        <f aca="false">F32*I32</f>
        <v>42179.76</v>
      </c>
      <c r="M32" s="5" t="s">
        <v>421</v>
      </c>
    </row>
    <row r="33" customFormat="false" ht="15" hidden="false" customHeight="false" outlineLevel="0" collapsed="false">
      <c r="A33" s="5" t="s">
        <v>409</v>
      </c>
      <c r="B33" s="5" t="s">
        <v>422</v>
      </c>
      <c r="C33" s="5" t="s">
        <v>186</v>
      </c>
      <c r="D33" s="5" t="s">
        <v>423</v>
      </c>
      <c r="E33" s="5" t="s">
        <v>194</v>
      </c>
      <c r="F33" s="21" t="n">
        <v>844.48</v>
      </c>
      <c r="G33" s="21" t="n">
        <v>0</v>
      </c>
      <c r="H33" s="21" t="n">
        <v>0</v>
      </c>
      <c r="I33" s="21" t="n">
        <v>10.5</v>
      </c>
      <c r="J33" s="22" t="n">
        <f aca="false">F33*G33</f>
        <v>0</v>
      </c>
      <c r="K33" s="22" t="n">
        <f aca="false">F33*H33</f>
        <v>0</v>
      </c>
      <c r="L33" s="22" t="n">
        <f aca="false">F33*I33</f>
        <v>8867.04</v>
      </c>
      <c r="M33" s="5" t="s">
        <v>424</v>
      </c>
    </row>
    <row r="34" customFormat="false" ht="15" hidden="false" customHeight="false" outlineLevel="0" collapsed="false">
      <c r="A34" s="5" t="s">
        <v>433</v>
      </c>
      <c r="B34" s="5" t="s">
        <v>434</v>
      </c>
      <c r="C34" s="5" t="s">
        <v>186</v>
      </c>
      <c r="D34" s="5" t="s">
        <v>435</v>
      </c>
      <c r="E34" s="5" t="s">
        <v>317</v>
      </c>
      <c r="F34" s="21" t="n">
        <v>232.27</v>
      </c>
      <c r="G34" s="21" t="n">
        <v>0</v>
      </c>
      <c r="H34" s="21" t="n">
        <v>0</v>
      </c>
      <c r="I34" s="21" t="n">
        <v>256</v>
      </c>
      <c r="J34" s="22" t="n">
        <f aca="false">F34*G34</f>
        <v>0</v>
      </c>
      <c r="K34" s="22" t="n">
        <f aca="false">F34*H34</f>
        <v>0</v>
      </c>
      <c r="L34" s="22" t="n">
        <f aca="false">F34*I34</f>
        <v>59461.12</v>
      </c>
      <c r="M34" s="5" t="s">
        <v>436</v>
      </c>
    </row>
    <row r="35" customFormat="false" ht="15" hidden="false" customHeight="false" outlineLevel="0" collapsed="false">
      <c r="I35" s="7" t="s">
        <v>323</v>
      </c>
      <c r="J35" s="23" t="n">
        <f aca="false">SUM(J17:J34)</f>
        <v>250898.7322</v>
      </c>
      <c r="K35" s="23" t="n">
        <f aca="false">SUM(K17:K34)</f>
        <v>412701.4313</v>
      </c>
      <c r="L35" s="23" t="n">
        <f aca="false">SUM(L17:L34)</f>
        <v>878321.2482</v>
      </c>
    </row>
    <row r="36" customFormat="false" ht="15" hidden="false" customHeight="false" outlineLevel="0" collapsed="false">
      <c r="I36" s="7" t="s">
        <v>324</v>
      </c>
      <c r="J36" s="24" t="n">
        <f aca="false">PARAMETROS!$B$7</f>
        <v>0.196</v>
      </c>
      <c r="K36" s="24" t="n">
        <f aca="false">PARAMETROS!$C$7</f>
        <v>0.2097</v>
      </c>
      <c r="L36" s="24" t="n">
        <f aca="false">PARAMETROS!$D$7</f>
        <v>0.2423</v>
      </c>
    </row>
    <row r="37" customFormat="false" ht="15" hidden="false" customHeight="false" outlineLevel="0" collapsed="false">
      <c r="I37" s="7" t="s">
        <v>325</v>
      </c>
      <c r="J37" s="24" t="n">
        <f aca="false">PARAMETROS!$B$8</f>
        <v>0.05</v>
      </c>
      <c r="K37" s="24" t="n">
        <f aca="false">PARAMETROS!$C$8</f>
        <v>0.1</v>
      </c>
      <c r="L37" s="24" t="n">
        <f aca="false">PARAMETROS!$D$8</f>
        <v>0.15</v>
      </c>
    </row>
    <row r="38" customFormat="false" ht="15" hidden="false" customHeight="false" outlineLevel="0" collapsed="false">
      <c r="I38" s="7" t="s">
        <v>155</v>
      </c>
      <c r="J38" s="25" t="n">
        <f aca="false">PARAMETROS!$B$9</f>
        <v>1</v>
      </c>
      <c r="K38" s="25" t="n">
        <f aca="false">PARAMETROS!$C$9</f>
        <v>1</v>
      </c>
      <c r="L38" s="25" t="n">
        <f aca="false">PARAMETROS!$D$9</f>
        <v>1.1</v>
      </c>
    </row>
    <row r="39" customFormat="false" ht="15" hidden="false" customHeight="false" outlineLevel="0" collapsed="false">
      <c r="I39" s="7" t="s">
        <v>326</v>
      </c>
      <c r="J39" s="8" t="n">
        <f aca="false">J35*(1+J36)*(1+J37)*J38</f>
        <v>315078.62789676</v>
      </c>
      <c r="K39" s="8" t="n">
        <f aca="false">K35*(1+K36)*(1+K37)*K38</f>
        <v>549169.413587971</v>
      </c>
      <c r="L39" s="8" t="n">
        <f aca="false">L35*(1+L36)*(1+L37)*L38</f>
        <v>1380290.18559816</v>
      </c>
    </row>
    <row r="41" customFormat="false" ht="15" hidden="false" customHeight="false" outlineLevel="0" collapsed="false">
      <c r="A41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787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93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86</v>
      </c>
    </row>
    <row r="7" customFormat="false" ht="15" hidden="false" customHeight="false" outlineLevel="0" collapsed="false">
      <c r="A7" s="7" t="s">
        <v>8</v>
      </c>
      <c r="B7" s="10" t="s">
        <v>95</v>
      </c>
    </row>
    <row r="8" customFormat="false" ht="15" hidden="false" customHeight="false" outlineLevel="0" collapsed="false">
      <c r="A8" s="7" t="s">
        <v>160</v>
      </c>
      <c r="B8" s="10" t="s">
        <v>788</v>
      </c>
    </row>
    <row r="9" customFormat="false" ht="15" hidden="false" customHeight="false" outlineLevel="0" collapsed="false">
      <c r="A9" s="7" t="s">
        <v>9</v>
      </c>
      <c r="B9" s="10" t="s">
        <v>54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404</v>
      </c>
    </row>
    <row r="12" customFormat="false" ht="15" hidden="false" customHeight="false" outlineLevel="0" collapsed="false">
      <c r="A12" s="7" t="s">
        <v>166</v>
      </c>
      <c r="B12" s="20" t="s">
        <v>789</v>
      </c>
    </row>
    <row r="13" customFormat="false" ht="15" hidden="false" customHeight="false" outlineLevel="0" collapsed="false">
      <c r="B13" s="20" t="s">
        <v>790</v>
      </c>
    </row>
    <row r="14" customFormat="false" ht="15" hidden="false" customHeight="false" outlineLevel="0" collapsed="false">
      <c r="B14" s="20" t="s">
        <v>575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216</v>
      </c>
      <c r="C17" s="5" t="s">
        <v>186</v>
      </c>
      <c r="D17" s="5" t="s">
        <v>217</v>
      </c>
      <c r="E17" s="5" t="s">
        <v>188</v>
      </c>
      <c r="F17" s="21" t="n">
        <v>454.97</v>
      </c>
      <c r="G17" s="21" t="n">
        <v>6</v>
      </c>
      <c r="H17" s="21" t="n">
        <v>6</v>
      </c>
      <c r="I17" s="21" t="n">
        <v>6</v>
      </c>
      <c r="J17" s="22" t="n">
        <f aca="false">F17*G17</f>
        <v>2729.82</v>
      </c>
      <c r="K17" s="22" t="n">
        <f aca="false">F17*H17</f>
        <v>2729.82</v>
      </c>
      <c r="L17" s="22" t="n">
        <f aca="false">F17*I17</f>
        <v>2729.82</v>
      </c>
      <c r="M17" s="5" t="s">
        <v>408</v>
      </c>
    </row>
    <row r="18" customFormat="false" ht="15" hidden="false" customHeight="false" outlineLevel="0" collapsed="false">
      <c r="A18" s="5" t="s">
        <v>333</v>
      </c>
      <c r="B18" s="5" t="s">
        <v>502</v>
      </c>
      <c r="C18" s="5" t="s">
        <v>186</v>
      </c>
      <c r="D18" s="5" t="s">
        <v>503</v>
      </c>
      <c r="E18" s="5" t="s">
        <v>188</v>
      </c>
      <c r="F18" s="21" t="n">
        <v>0.76</v>
      </c>
      <c r="G18" s="21" t="n">
        <v>1110</v>
      </c>
      <c r="H18" s="21" t="n">
        <v>2250</v>
      </c>
      <c r="I18" s="21" t="n">
        <v>4400</v>
      </c>
      <c r="J18" s="22" t="n">
        <f aca="false">F18*G18</f>
        <v>843.6</v>
      </c>
      <c r="K18" s="22" t="n">
        <f aca="false">F18*H18</f>
        <v>1710</v>
      </c>
      <c r="L18" s="22" t="n">
        <f aca="false">F18*I18</f>
        <v>3344</v>
      </c>
      <c r="M18" s="5" t="s">
        <v>576</v>
      </c>
    </row>
    <row r="19" customFormat="false" ht="15" hidden="false" customHeight="false" outlineLevel="0" collapsed="false">
      <c r="A19" s="5" t="s">
        <v>409</v>
      </c>
      <c r="B19" s="5" t="s">
        <v>410</v>
      </c>
      <c r="C19" s="5" t="s">
        <v>186</v>
      </c>
      <c r="D19" s="5" t="s">
        <v>411</v>
      </c>
      <c r="E19" s="5" t="s">
        <v>317</v>
      </c>
      <c r="F19" s="21" t="n">
        <v>10.58</v>
      </c>
      <c r="G19" s="21" t="n">
        <v>288</v>
      </c>
      <c r="H19" s="21" t="n">
        <v>0</v>
      </c>
      <c r="I19" s="21" t="n">
        <v>0</v>
      </c>
      <c r="J19" s="22" t="n">
        <f aca="false">F19*G19</f>
        <v>3047.04</v>
      </c>
      <c r="K19" s="22" t="n">
        <f aca="false">F19*H19</f>
        <v>0</v>
      </c>
      <c r="L19" s="22" t="n">
        <f aca="false">F19*I19</f>
        <v>0</v>
      </c>
      <c r="M19" s="5" t="s">
        <v>568</v>
      </c>
    </row>
    <row r="20" customFormat="false" ht="15" hidden="false" customHeight="false" outlineLevel="0" collapsed="false">
      <c r="A20" s="5" t="s">
        <v>409</v>
      </c>
      <c r="B20" s="5" t="s">
        <v>487</v>
      </c>
      <c r="C20" s="5" t="s">
        <v>186</v>
      </c>
      <c r="D20" s="5" t="s">
        <v>488</v>
      </c>
      <c r="E20" s="5" t="s">
        <v>194</v>
      </c>
      <c r="F20" s="21" t="n">
        <v>351.67</v>
      </c>
      <c r="G20" s="21" t="n">
        <v>150</v>
      </c>
      <c r="H20" s="21" t="n">
        <v>250</v>
      </c>
      <c r="I20" s="21" t="n">
        <v>0</v>
      </c>
      <c r="J20" s="22" t="n">
        <f aca="false">F20*G20</f>
        <v>52750.5</v>
      </c>
      <c r="K20" s="22" t="n">
        <f aca="false">F20*H20</f>
        <v>87917.5</v>
      </c>
      <c r="L20" s="22" t="n">
        <f aca="false">F20*I20</f>
        <v>0</v>
      </c>
      <c r="M20" s="5" t="s">
        <v>489</v>
      </c>
    </row>
    <row r="21" customFormat="false" ht="15" hidden="false" customHeight="false" outlineLevel="0" collapsed="false">
      <c r="A21" s="5" t="s">
        <v>409</v>
      </c>
      <c r="B21" s="5" t="s">
        <v>416</v>
      </c>
      <c r="C21" s="5" t="s">
        <v>186</v>
      </c>
      <c r="D21" s="5" t="s">
        <v>417</v>
      </c>
      <c r="E21" s="5" t="s">
        <v>317</v>
      </c>
      <c r="F21" s="21" t="n">
        <v>20.26</v>
      </c>
      <c r="G21" s="21" t="n">
        <v>230.27</v>
      </c>
      <c r="H21" s="21" t="n">
        <v>383.79</v>
      </c>
      <c r="I21" s="21" t="n">
        <v>753.53</v>
      </c>
      <c r="J21" s="22" t="n">
        <f aca="false">F21*G21</f>
        <v>4665.2702</v>
      </c>
      <c r="K21" s="22" t="n">
        <f aca="false">F21*H21</f>
        <v>7775.5854</v>
      </c>
      <c r="L21" s="22" t="n">
        <f aca="false">F21*I21</f>
        <v>15266.5178</v>
      </c>
      <c r="M21" s="5" t="s">
        <v>418</v>
      </c>
    </row>
    <row r="22" customFormat="false" ht="15" hidden="false" customHeight="false" outlineLevel="0" collapsed="false">
      <c r="A22" s="5" t="s">
        <v>409</v>
      </c>
      <c r="B22" s="5" t="s">
        <v>490</v>
      </c>
      <c r="C22" s="5" t="s">
        <v>186</v>
      </c>
      <c r="D22" s="5" t="s">
        <v>491</v>
      </c>
      <c r="E22" s="5" t="s">
        <v>277</v>
      </c>
      <c r="F22" s="21" t="n">
        <v>1613.82</v>
      </c>
      <c r="G22" s="21" t="n">
        <v>5</v>
      </c>
      <c r="H22" s="21" t="n">
        <v>8</v>
      </c>
      <c r="I22" s="21" t="n">
        <v>0</v>
      </c>
      <c r="J22" s="22" t="n">
        <f aca="false">F22*G22</f>
        <v>8069.1</v>
      </c>
      <c r="K22" s="22" t="n">
        <f aca="false">F22*H22</f>
        <v>12910.56</v>
      </c>
      <c r="L22" s="22" t="n">
        <f aca="false">F22*I22</f>
        <v>0</v>
      </c>
      <c r="M22" s="5" t="s">
        <v>421</v>
      </c>
    </row>
    <row r="23" customFormat="false" ht="15" hidden="false" customHeight="false" outlineLevel="0" collapsed="false">
      <c r="A23" s="5" t="s">
        <v>409</v>
      </c>
      <c r="B23" s="5" t="s">
        <v>492</v>
      </c>
      <c r="C23" s="5" t="s">
        <v>186</v>
      </c>
      <c r="D23" s="5" t="s">
        <v>493</v>
      </c>
      <c r="E23" s="5" t="s">
        <v>194</v>
      </c>
      <c r="F23" s="21" t="n">
        <v>634.89</v>
      </c>
      <c r="G23" s="21" t="n">
        <v>2.5</v>
      </c>
      <c r="H23" s="21" t="n">
        <v>4</v>
      </c>
      <c r="I23" s="21" t="n">
        <v>0</v>
      </c>
      <c r="J23" s="22" t="n">
        <f aca="false">F23*G23</f>
        <v>1587.225</v>
      </c>
      <c r="K23" s="22" t="n">
        <f aca="false">F23*H23</f>
        <v>2539.56</v>
      </c>
      <c r="L23" s="22" t="n">
        <f aca="false">F23*I23</f>
        <v>0</v>
      </c>
      <c r="M23" s="5" t="s">
        <v>424</v>
      </c>
    </row>
    <row r="24" customFormat="false" ht="15" hidden="false" customHeight="false" outlineLevel="0" collapsed="false">
      <c r="A24" s="5" t="s">
        <v>409</v>
      </c>
      <c r="B24" s="5" t="s">
        <v>425</v>
      </c>
      <c r="C24" s="5" t="s">
        <v>186</v>
      </c>
      <c r="D24" s="5" t="s">
        <v>426</v>
      </c>
      <c r="E24" s="5" t="s">
        <v>277</v>
      </c>
      <c r="F24" s="21" t="n">
        <v>1812.94</v>
      </c>
      <c r="G24" s="21" t="n">
        <v>8</v>
      </c>
      <c r="H24" s="21" t="n">
        <v>14</v>
      </c>
      <c r="I24" s="21" t="n">
        <v>20</v>
      </c>
      <c r="J24" s="22" t="n">
        <f aca="false">F24*G24</f>
        <v>14503.52</v>
      </c>
      <c r="K24" s="22" t="n">
        <f aca="false">F24*H24</f>
        <v>25381.16</v>
      </c>
      <c r="L24" s="22" t="n">
        <f aca="false">F24*I24</f>
        <v>36258.8</v>
      </c>
      <c r="M24" s="5" t="s">
        <v>427</v>
      </c>
    </row>
    <row r="25" customFormat="false" ht="15" hidden="false" customHeight="false" outlineLevel="0" collapsed="false">
      <c r="A25" s="5" t="s">
        <v>409</v>
      </c>
      <c r="B25" s="5" t="s">
        <v>428</v>
      </c>
      <c r="C25" s="5" t="s">
        <v>186</v>
      </c>
      <c r="D25" s="5" t="s">
        <v>429</v>
      </c>
      <c r="E25" s="5" t="s">
        <v>194</v>
      </c>
      <c r="F25" s="21" t="n">
        <v>188.74</v>
      </c>
      <c r="G25" s="21" t="n">
        <v>32</v>
      </c>
      <c r="H25" s="21" t="n">
        <v>56</v>
      </c>
      <c r="I25" s="21" t="n">
        <v>80</v>
      </c>
      <c r="J25" s="22" t="n">
        <f aca="false">F25*G25</f>
        <v>6039.68</v>
      </c>
      <c r="K25" s="22" t="n">
        <f aca="false">F25*H25</f>
        <v>10569.44</v>
      </c>
      <c r="L25" s="22" t="n">
        <f aca="false">F25*I25</f>
        <v>15099.2</v>
      </c>
      <c r="M25" s="5" t="s">
        <v>430</v>
      </c>
    </row>
    <row r="26" customFormat="false" ht="15" hidden="false" customHeight="false" outlineLevel="0" collapsed="false">
      <c r="A26" s="5" t="s">
        <v>409</v>
      </c>
      <c r="B26" s="5" t="s">
        <v>315</v>
      </c>
      <c r="C26" s="5" t="s">
        <v>186</v>
      </c>
      <c r="D26" s="5" t="s">
        <v>316</v>
      </c>
      <c r="E26" s="5" t="s">
        <v>317</v>
      </c>
      <c r="F26" s="21" t="n">
        <v>9.88</v>
      </c>
      <c r="G26" s="21" t="n">
        <v>57.73</v>
      </c>
      <c r="H26" s="21" t="n">
        <v>96.21</v>
      </c>
      <c r="I26" s="21" t="n">
        <v>254.47</v>
      </c>
      <c r="J26" s="22" t="n">
        <f aca="false">F26*G26</f>
        <v>570.3724</v>
      </c>
      <c r="K26" s="22" t="n">
        <f aca="false">F26*H26</f>
        <v>950.5548</v>
      </c>
      <c r="L26" s="22" t="n">
        <f aca="false">F26*I26</f>
        <v>2514.1636</v>
      </c>
      <c r="M26" s="5" t="s">
        <v>431</v>
      </c>
    </row>
    <row r="27" customFormat="false" ht="15" hidden="false" customHeight="false" outlineLevel="0" collapsed="false">
      <c r="A27" s="5" t="s">
        <v>409</v>
      </c>
      <c r="B27" s="5" t="s">
        <v>319</v>
      </c>
      <c r="C27" s="5" t="s">
        <v>186</v>
      </c>
      <c r="D27" s="5" t="s">
        <v>320</v>
      </c>
      <c r="E27" s="5" t="s">
        <v>321</v>
      </c>
      <c r="F27" s="21" t="n">
        <v>2.83</v>
      </c>
      <c r="G27" s="21" t="n">
        <v>577.27</v>
      </c>
      <c r="H27" s="21" t="n">
        <v>962.11</v>
      </c>
      <c r="I27" s="21" t="n">
        <v>2544.69</v>
      </c>
      <c r="J27" s="22" t="n">
        <f aca="false">F27*G27</f>
        <v>1633.6741</v>
      </c>
      <c r="K27" s="22" t="n">
        <f aca="false">F27*H27</f>
        <v>2722.7713</v>
      </c>
      <c r="L27" s="22" t="n">
        <f aca="false">F27*I27</f>
        <v>7201.4727</v>
      </c>
      <c r="M27" s="5" t="s">
        <v>432</v>
      </c>
    </row>
    <row r="28" customFormat="false" ht="15" hidden="false" customHeight="false" outlineLevel="0" collapsed="false">
      <c r="A28" s="5" t="s">
        <v>577</v>
      </c>
      <c r="B28" s="5" t="s">
        <v>511</v>
      </c>
      <c r="C28" s="5" t="s">
        <v>186</v>
      </c>
      <c r="D28" s="5" t="s">
        <v>512</v>
      </c>
      <c r="E28" s="5" t="s">
        <v>188</v>
      </c>
      <c r="F28" s="21" t="n">
        <v>3.35</v>
      </c>
      <c r="G28" s="21" t="n">
        <v>750</v>
      </c>
      <c r="H28" s="21" t="n">
        <v>1500</v>
      </c>
      <c r="I28" s="21" t="n">
        <v>2800</v>
      </c>
      <c r="J28" s="22" t="n">
        <f aca="false">F28*G28</f>
        <v>2512.5</v>
      </c>
      <c r="K28" s="22" t="n">
        <f aca="false">F28*H28</f>
        <v>5025</v>
      </c>
      <c r="L28" s="22" t="n">
        <f aca="false">F28*I28</f>
        <v>9380</v>
      </c>
      <c r="M28" s="5" t="s">
        <v>578</v>
      </c>
    </row>
    <row r="29" customFormat="false" ht="15" hidden="false" customHeight="false" outlineLevel="0" collapsed="false">
      <c r="A29" s="5" t="s">
        <v>577</v>
      </c>
      <c r="B29" s="5" t="s">
        <v>514</v>
      </c>
      <c r="C29" s="5" t="s">
        <v>186</v>
      </c>
      <c r="D29" s="5" t="s">
        <v>515</v>
      </c>
      <c r="E29" s="5" t="s">
        <v>317</v>
      </c>
      <c r="F29" s="21" t="n">
        <v>216.4</v>
      </c>
      <c r="G29" s="21" t="n">
        <v>112.5</v>
      </c>
      <c r="H29" s="21" t="n">
        <v>0</v>
      </c>
      <c r="I29" s="21" t="n">
        <v>0</v>
      </c>
      <c r="J29" s="22" t="n">
        <f aca="false">F29*G29</f>
        <v>24345</v>
      </c>
      <c r="K29" s="22" t="n">
        <f aca="false">F29*H29</f>
        <v>0</v>
      </c>
      <c r="L29" s="22" t="n">
        <f aca="false">F29*I29</f>
        <v>0</v>
      </c>
      <c r="M29" s="5" t="s">
        <v>579</v>
      </c>
    </row>
    <row r="30" customFormat="false" ht="15" hidden="false" customHeight="false" outlineLevel="0" collapsed="false">
      <c r="A30" s="5" t="s">
        <v>577</v>
      </c>
      <c r="B30" s="5" t="s">
        <v>319</v>
      </c>
      <c r="C30" s="5" t="s">
        <v>186</v>
      </c>
      <c r="D30" s="5" t="s">
        <v>320</v>
      </c>
      <c r="E30" s="5" t="s">
        <v>321</v>
      </c>
      <c r="F30" s="21" t="n">
        <v>2.83</v>
      </c>
      <c r="G30" s="21" t="n">
        <v>2250</v>
      </c>
      <c r="H30" s="21" t="n">
        <v>6000</v>
      </c>
      <c r="I30" s="21" t="n">
        <v>0</v>
      </c>
      <c r="J30" s="22" t="n">
        <f aca="false">F30*G30</f>
        <v>6367.5</v>
      </c>
      <c r="K30" s="22" t="n">
        <f aca="false">F30*H30</f>
        <v>16980</v>
      </c>
      <c r="L30" s="22" t="n">
        <f aca="false">F30*I30</f>
        <v>0</v>
      </c>
      <c r="M30" s="5" t="s">
        <v>580</v>
      </c>
    </row>
    <row r="31" customFormat="false" ht="15" hidden="false" customHeight="false" outlineLevel="0" collapsed="false">
      <c r="A31" s="5" t="s">
        <v>577</v>
      </c>
      <c r="B31" s="5" t="s">
        <v>581</v>
      </c>
      <c r="C31" s="5" t="s">
        <v>186</v>
      </c>
      <c r="D31" s="5" t="s">
        <v>582</v>
      </c>
      <c r="E31" s="5" t="s">
        <v>317</v>
      </c>
      <c r="F31" s="21" t="n">
        <v>1620.91</v>
      </c>
      <c r="G31" s="21" t="n">
        <v>30</v>
      </c>
      <c r="H31" s="21" t="n">
        <v>0</v>
      </c>
      <c r="I31" s="21" t="n">
        <v>0</v>
      </c>
      <c r="J31" s="22" t="n">
        <f aca="false">F31*G31</f>
        <v>48627.3</v>
      </c>
      <c r="K31" s="22" t="n">
        <f aca="false">F31*H31</f>
        <v>0</v>
      </c>
      <c r="L31" s="22" t="n">
        <f aca="false">F31*I31</f>
        <v>0</v>
      </c>
      <c r="M31" s="5" t="s">
        <v>583</v>
      </c>
    </row>
    <row r="32" customFormat="false" ht="15" hidden="false" customHeight="false" outlineLevel="0" collapsed="false">
      <c r="A32" s="5" t="s">
        <v>577</v>
      </c>
      <c r="B32" s="5" t="s">
        <v>319</v>
      </c>
      <c r="C32" s="5" t="s">
        <v>186</v>
      </c>
      <c r="D32" s="5" t="s">
        <v>320</v>
      </c>
      <c r="E32" s="5" t="s">
        <v>321</v>
      </c>
      <c r="F32" s="21" t="n">
        <v>2.83</v>
      </c>
      <c r="G32" s="21" t="n">
        <v>900</v>
      </c>
      <c r="H32" s="21" t="n">
        <v>2250</v>
      </c>
      <c r="I32" s="21" t="n">
        <v>0</v>
      </c>
      <c r="J32" s="22" t="n">
        <f aca="false">F32*G32</f>
        <v>2547</v>
      </c>
      <c r="K32" s="22" t="n">
        <f aca="false">F32*H32</f>
        <v>6367.5</v>
      </c>
      <c r="L32" s="22" t="n">
        <f aca="false">F32*I32</f>
        <v>0</v>
      </c>
      <c r="M32" s="5" t="s">
        <v>584</v>
      </c>
    </row>
    <row r="33" customFormat="false" ht="15" hidden="false" customHeight="false" outlineLevel="0" collapsed="false">
      <c r="A33" s="5" t="s">
        <v>585</v>
      </c>
      <c r="B33" s="5" t="s">
        <v>586</v>
      </c>
      <c r="C33" s="5" t="s">
        <v>186</v>
      </c>
      <c r="D33" s="5" t="s">
        <v>587</v>
      </c>
      <c r="E33" s="5" t="s">
        <v>194</v>
      </c>
      <c r="F33" s="21" t="n">
        <v>42.52</v>
      </c>
      <c r="G33" s="21" t="n">
        <v>300</v>
      </c>
      <c r="H33" s="21" t="n">
        <v>500</v>
      </c>
      <c r="I33" s="21" t="n">
        <v>800</v>
      </c>
      <c r="J33" s="22" t="n">
        <f aca="false">F33*G33</f>
        <v>12756</v>
      </c>
      <c r="K33" s="22" t="n">
        <f aca="false">F33*H33</f>
        <v>21260</v>
      </c>
      <c r="L33" s="22" t="n">
        <f aca="false">F33*I33</f>
        <v>34016</v>
      </c>
      <c r="M33" s="5" t="s">
        <v>588</v>
      </c>
    </row>
    <row r="34" customFormat="false" ht="15" hidden="false" customHeight="false" outlineLevel="0" collapsed="false">
      <c r="A34" s="5" t="s">
        <v>585</v>
      </c>
      <c r="B34" s="5" t="s">
        <v>589</v>
      </c>
      <c r="C34" s="5" t="s">
        <v>186</v>
      </c>
      <c r="D34" s="5" t="s">
        <v>590</v>
      </c>
      <c r="E34" s="5" t="s">
        <v>194</v>
      </c>
      <c r="F34" s="21" t="n">
        <v>41.61</v>
      </c>
      <c r="G34" s="21" t="n">
        <v>300</v>
      </c>
      <c r="H34" s="21" t="n">
        <v>500</v>
      </c>
      <c r="I34" s="21" t="n">
        <v>800</v>
      </c>
      <c r="J34" s="22" t="n">
        <f aca="false">F34*G34</f>
        <v>12483</v>
      </c>
      <c r="K34" s="22" t="n">
        <f aca="false">F34*H34</f>
        <v>20805</v>
      </c>
      <c r="L34" s="22" t="n">
        <f aca="false">F34*I34</f>
        <v>33288</v>
      </c>
      <c r="M34" s="5" t="s">
        <v>591</v>
      </c>
    </row>
    <row r="35" customFormat="false" ht="15" hidden="false" customHeight="false" outlineLevel="0" collapsed="false">
      <c r="A35" s="5" t="s">
        <v>585</v>
      </c>
      <c r="B35" s="5" t="s">
        <v>367</v>
      </c>
      <c r="C35" s="5" t="s">
        <v>186</v>
      </c>
      <c r="D35" s="5" t="s">
        <v>368</v>
      </c>
      <c r="E35" s="5" t="s">
        <v>188</v>
      </c>
      <c r="F35" s="21" t="n">
        <v>91.17</v>
      </c>
      <c r="G35" s="21" t="n">
        <v>360</v>
      </c>
      <c r="H35" s="21" t="n">
        <v>750</v>
      </c>
      <c r="I35" s="21" t="n">
        <v>1600</v>
      </c>
      <c r="J35" s="22" t="n">
        <f aca="false">F35*G35</f>
        <v>32821.2</v>
      </c>
      <c r="K35" s="22" t="n">
        <f aca="false">F35*H35</f>
        <v>68377.5</v>
      </c>
      <c r="L35" s="22" t="n">
        <f aca="false">F35*I35</f>
        <v>145872</v>
      </c>
      <c r="M35" s="5" t="s">
        <v>592</v>
      </c>
    </row>
    <row r="36" customFormat="false" ht="15" hidden="false" customHeight="false" outlineLevel="0" collapsed="false">
      <c r="A36" s="5" t="s">
        <v>585</v>
      </c>
      <c r="B36" s="5" t="s">
        <v>593</v>
      </c>
      <c r="C36" s="5" t="s">
        <v>186</v>
      </c>
      <c r="D36" s="5" t="s">
        <v>594</v>
      </c>
      <c r="E36" s="5" t="s">
        <v>277</v>
      </c>
      <c r="F36" s="21" t="n">
        <v>898.57</v>
      </c>
      <c r="G36" s="21" t="n">
        <v>6</v>
      </c>
      <c r="H36" s="21" t="n">
        <v>10</v>
      </c>
      <c r="I36" s="21" t="n">
        <v>16</v>
      </c>
      <c r="J36" s="22" t="n">
        <f aca="false">F36*G36</f>
        <v>5391.42</v>
      </c>
      <c r="K36" s="22" t="n">
        <f aca="false">F36*H36</f>
        <v>8985.7</v>
      </c>
      <c r="L36" s="22" t="n">
        <f aca="false">F36*I36</f>
        <v>14377.12</v>
      </c>
      <c r="M36" s="5" t="s">
        <v>595</v>
      </c>
    </row>
    <row r="37" customFormat="false" ht="15" hidden="false" customHeight="false" outlineLevel="0" collapsed="false">
      <c r="A37" s="5" t="s">
        <v>596</v>
      </c>
      <c r="B37" s="5" t="s">
        <v>597</v>
      </c>
      <c r="C37" s="5" t="s">
        <v>186</v>
      </c>
      <c r="D37" s="5" t="s">
        <v>598</v>
      </c>
      <c r="E37" s="5" t="s">
        <v>188</v>
      </c>
      <c r="F37" s="21" t="n">
        <v>29.88</v>
      </c>
      <c r="G37" s="21" t="n">
        <v>24</v>
      </c>
      <c r="H37" s="21" t="n">
        <v>36</v>
      </c>
      <c r="I37" s="21" t="n">
        <v>48</v>
      </c>
      <c r="J37" s="22" t="n">
        <f aca="false">F37*G37</f>
        <v>717.12</v>
      </c>
      <c r="K37" s="22" t="n">
        <f aca="false">F37*H37</f>
        <v>1075.68</v>
      </c>
      <c r="L37" s="22" t="n">
        <f aca="false">F37*I37</f>
        <v>1434.24</v>
      </c>
      <c r="M37" s="5" t="s">
        <v>599</v>
      </c>
    </row>
    <row r="38" customFormat="false" ht="15" hidden="false" customHeight="false" outlineLevel="0" collapsed="false">
      <c r="A38" s="5" t="s">
        <v>409</v>
      </c>
      <c r="B38" s="5" t="s">
        <v>410</v>
      </c>
      <c r="C38" s="5" t="s">
        <v>186</v>
      </c>
      <c r="D38" s="5" t="s">
        <v>411</v>
      </c>
      <c r="E38" s="5" t="s">
        <v>317</v>
      </c>
      <c r="F38" s="21" t="n">
        <v>10.58</v>
      </c>
      <c r="G38" s="21" t="n">
        <v>0</v>
      </c>
      <c r="H38" s="21" t="n">
        <v>480</v>
      </c>
      <c r="I38" s="21" t="n">
        <v>0</v>
      </c>
      <c r="J38" s="22" t="n">
        <f aca="false">F38*G38</f>
        <v>0</v>
      </c>
      <c r="K38" s="22" t="n">
        <f aca="false">F38*H38</f>
        <v>5078.4</v>
      </c>
      <c r="L38" s="22" t="n">
        <f aca="false">F38*I38</f>
        <v>0</v>
      </c>
      <c r="M38" s="5" t="s">
        <v>569</v>
      </c>
    </row>
    <row r="39" customFormat="false" ht="15" hidden="false" customHeight="false" outlineLevel="0" collapsed="false">
      <c r="A39" s="5" t="s">
        <v>577</v>
      </c>
      <c r="B39" s="5" t="s">
        <v>514</v>
      </c>
      <c r="C39" s="5" t="s">
        <v>186</v>
      </c>
      <c r="D39" s="5" t="s">
        <v>515</v>
      </c>
      <c r="E39" s="5" t="s">
        <v>317</v>
      </c>
      <c r="F39" s="21" t="n">
        <v>216.4</v>
      </c>
      <c r="G39" s="21" t="n">
        <v>0</v>
      </c>
      <c r="H39" s="21" t="n">
        <v>300</v>
      </c>
      <c r="I39" s="21" t="n">
        <v>0</v>
      </c>
      <c r="J39" s="22" t="n">
        <f aca="false">F39*G39</f>
        <v>0</v>
      </c>
      <c r="K39" s="22" t="n">
        <f aca="false">F39*H39</f>
        <v>64920</v>
      </c>
      <c r="L39" s="22" t="n">
        <f aca="false">F39*I39</f>
        <v>0</v>
      </c>
      <c r="M39" s="5" t="s">
        <v>600</v>
      </c>
    </row>
    <row r="40" customFormat="false" ht="15" hidden="false" customHeight="false" outlineLevel="0" collapsed="false">
      <c r="A40" s="5" t="s">
        <v>577</v>
      </c>
      <c r="B40" s="5" t="s">
        <v>581</v>
      </c>
      <c r="C40" s="5" t="s">
        <v>186</v>
      </c>
      <c r="D40" s="5" t="s">
        <v>582</v>
      </c>
      <c r="E40" s="5" t="s">
        <v>317</v>
      </c>
      <c r="F40" s="21" t="n">
        <v>1620.91</v>
      </c>
      <c r="G40" s="21" t="n">
        <v>0</v>
      </c>
      <c r="H40" s="21" t="n">
        <v>75</v>
      </c>
      <c r="I40" s="21" t="n">
        <v>140</v>
      </c>
      <c r="J40" s="22" t="n">
        <f aca="false">F40*G40</f>
        <v>0</v>
      </c>
      <c r="K40" s="22" t="n">
        <f aca="false">F40*H40</f>
        <v>121568.25</v>
      </c>
      <c r="L40" s="22" t="n">
        <f aca="false">F40*I40</f>
        <v>226927.4</v>
      </c>
      <c r="M40" s="5" t="s">
        <v>601</v>
      </c>
    </row>
    <row r="41" customFormat="false" ht="15" hidden="false" customHeight="false" outlineLevel="0" collapsed="false">
      <c r="A41" s="5" t="s">
        <v>409</v>
      </c>
      <c r="B41" s="5" t="s">
        <v>410</v>
      </c>
      <c r="C41" s="5" t="s">
        <v>186</v>
      </c>
      <c r="D41" s="5" t="s">
        <v>411</v>
      </c>
      <c r="E41" s="5" t="s">
        <v>317</v>
      </c>
      <c r="F41" s="21" t="n">
        <v>10.58</v>
      </c>
      <c r="G41" s="21" t="n">
        <v>0</v>
      </c>
      <c r="H41" s="21" t="n">
        <v>0</v>
      </c>
      <c r="I41" s="21" t="n">
        <v>1008</v>
      </c>
      <c r="J41" s="22" t="n">
        <f aca="false">F41*G41</f>
        <v>0</v>
      </c>
      <c r="K41" s="22" t="n">
        <f aca="false">F41*H41</f>
        <v>0</v>
      </c>
      <c r="L41" s="22" t="n">
        <f aca="false">F41*I41</f>
        <v>10664.64</v>
      </c>
      <c r="M41" s="5" t="s">
        <v>570</v>
      </c>
    </row>
    <row r="42" customFormat="false" ht="15" hidden="false" customHeight="false" outlineLevel="0" collapsed="false">
      <c r="A42" s="5" t="s">
        <v>409</v>
      </c>
      <c r="B42" s="5" t="s">
        <v>413</v>
      </c>
      <c r="C42" s="5" t="s">
        <v>186</v>
      </c>
      <c r="D42" s="5" t="s">
        <v>414</v>
      </c>
      <c r="E42" s="5" t="s">
        <v>194</v>
      </c>
      <c r="F42" s="21" t="n">
        <v>567.96</v>
      </c>
      <c r="G42" s="21" t="n">
        <v>0</v>
      </c>
      <c r="H42" s="21" t="n">
        <v>0</v>
      </c>
      <c r="I42" s="21" t="n">
        <v>400</v>
      </c>
      <c r="J42" s="22" t="n">
        <f aca="false">F42*G42</f>
        <v>0</v>
      </c>
      <c r="K42" s="22" t="n">
        <f aca="false">F42*H42</f>
        <v>0</v>
      </c>
      <c r="L42" s="22" t="n">
        <f aca="false">F42*I42</f>
        <v>227184</v>
      </c>
      <c r="M42" s="5" t="s">
        <v>415</v>
      </c>
    </row>
    <row r="43" customFormat="false" ht="15" hidden="false" customHeight="false" outlineLevel="0" collapsed="false">
      <c r="A43" s="5" t="s">
        <v>409</v>
      </c>
      <c r="B43" s="5" t="s">
        <v>419</v>
      </c>
      <c r="C43" s="5" t="s">
        <v>186</v>
      </c>
      <c r="D43" s="5" t="s">
        <v>420</v>
      </c>
      <c r="E43" s="5" t="s">
        <v>277</v>
      </c>
      <c r="F43" s="21" t="n">
        <v>2008.56</v>
      </c>
      <c r="G43" s="21" t="n">
        <v>0</v>
      </c>
      <c r="H43" s="21" t="n">
        <v>0</v>
      </c>
      <c r="I43" s="21" t="n">
        <v>11</v>
      </c>
      <c r="J43" s="22" t="n">
        <f aca="false">F43*G43</f>
        <v>0</v>
      </c>
      <c r="K43" s="22" t="n">
        <f aca="false">F43*H43</f>
        <v>0</v>
      </c>
      <c r="L43" s="22" t="n">
        <f aca="false">F43*I43</f>
        <v>22094.16</v>
      </c>
      <c r="M43" s="5" t="s">
        <v>421</v>
      </c>
    </row>
    <row r="44" customFormat="false" ht="15" hidden="false" customHeight="false" outlineLevel="0" collapsed="false">
      <c r="A44" s="5" t="s">
        <v>409</v>
      </c>
      <c r="B44" s="5" t="s">
        <v>422</v>
      </c>
      <c r="C44" s="5" t="s">
        <v>186</v>
      </c>
      <c r="D44" s="5" t="s">
        <v>423</v>
      </c>
      <c r="E44" s="5" t="s">
        <v>194</v>
      </c>
      <c r="F44" s="21" t="n">
        <v>844.48</v>
      </c>
      <c r="G44" s="21" t="n">
        <v>0</v>
      </c>
      <c r="H44" s="21" t="n">
        <v>0</v>
      </c>
      <c r="I44" s="21" t="n">
        <v>5.5</v>
      </c>
      <c r="J44" s="22" t="n">
        <f aca="false">F44*G44</f>
        <v>0</v>
      </c>
      <c r="K44" s="22" t="n">
        <f aca="false">F44*H44</f>
        <v>0</v>
      </c>
      <c r="L44" s="22" t="n">
        <f aca="false">F44*I44</f>
        <v>4644.64</v>
      </c>
      <c r="M44" s="5" t="s">
        <v>424</v>
      </c>
    </row>
    <row r="45" customFormat="false" ht="15" hidden="false" customHeight="false" outlineLevel="0" collapsed="false">
      <c r="A45" s="5" t="s">
        <v>577</v>
      </c>
      <c r="B45" s="5" t="s">
        <v>514</v>
      </c>
      <c r="C45" s="5" t="s">
        <v>186</v>
      </c>
      <c r="D45" s="5" t="s">
        <v>515</v>
      </c>
      <c r="E45" s="5" t="s">
        <v>317</v>
      </c>
      <c r="F45" s="21" t="n">
        <v>216.4</v>
      </c>
      <c r="G45" s="21" t="n">
        <v>0</v>
      </c>
      <c r="H45" s="21" t="n">
        <v>0</v>
      </c>
      <c r="I45" s="21" t="n">
        <v>840</v>
      </c>
      <c r="J45" s="22" t="n">
        <f aca="false">F45*G45</f>
        <v>0</v>
      </c>
      <c r="K45" s="22" t="n">
        <f aca="false">F45*H45</f>
        <v>0</v>
      </c>
      <c r="L45" s="22" t="n">
        <f aca="false">F45*I45</f>
        <v>181776</v>
      </c>
      <c r="M45" s="5" t="s">
        <v>602</v>
      </c>
    </row>
    <row r="46" customFormat="false" ht="15" hidden="false" customHeight="false" outlineLevel="0" collapsed="false">
      <c r="A46" s="5" t="s">
        <v>577</v>
      </c>
      <c r="B46" s="5" t="s">
        <v>319</v>
      </c>
      <c r="C46" s="5" t="s">
        <v>186</v>
      </c>
      <c r="D46" s="5" t="s">
        <v>320</v>
      </c>
      <c r="E46" s="5" t="s">
        <v>321</v>
      </c>
      <c r="F46" s="21" t="n">
        <v>2.83</v>
      </c>
      <c r="G46" s="21" t="n">
        <v>0</v>
      </c>
      <c r="H46" s="21" t="n">
        <v>0</v>
      </c>
      <c r="I46" s="21" t="n">
        <v>33600</v>
      </c>
      <c r="J46" s="22" t="n">
        <f aca="false">F46*G46</f>
        <v>0</v>
      </c>
      <c r="K46" s="22" t="n">
        <f aca="false">F46*H46</f>
        <v>0</v>
      </c>
      <c r="L46" s="22" t="n">
        <f aca="false">F46*I46</f>
        <v>95088</v>
      </c>
      <c r="M46" s="5" t="s">
        <v>603</v>
      </c>
    </row>
    <row r="47" customFormat="false" ht="15" hidden="false" customHeight="false" outlineLevel="0" collapsed="false">
      <c r="A47" s="5" t="s">
        <v>577</v>
      </c>
      <c r="B47" s="5" t="s">
        <v>319</v>
      </c>
      <c r="C47" s="5" t="s">
        <v>186</v>
      </c>
      <c r="D47" s="5" t="s">
        <v>320</v>
      </c>
      <c r="E47" s="5" t="s">
        <v>321</v>
      </c>
      <c r="F47" s="21" t="n">
        <v>2.83</v>
      </c>
      <c r="G47" s="21" t="n">
        <v>0</v>
      </c>
      <c r="H47" s="21" t="n">
        <v>0</v>
      </c>
      <c r="I47" s="21" t="n">
        <v>8400</v>
      </c>
      <c r="J47" s="22" t="n">
        <f aca="false">F47*G47</f>
        <v>0</v>
      </c>
      <c r="K47" s="22" t="n">
        <f aca="false">F47*H47</f>
        <v>0</v>
      </c>
      <c r="L47" s="22" t="n">
        <f aca="false">F47*I47</f>
        <v>23772</v>
      </c>
      <c r="M47" s="5" t="s">
        <v>604</v>
      </c>
    </row>
    <row r="48" customFormat="false" ht="15" hidden="false" customHeight="false" outlineLevel="0" collapsed="false">
      <c r="I48" s="7" t="s">
        <v>323</v>
      </c>
      <c r="J48" s="23" t="n">
        <f aca="false">SUM(J17:J47)</f>
        <v>245007.8417</v>
      </c>
      <c r="K48" s="23" t="n">
        <f aca="false">SUM(K17:K47)</f>
        <v>495649.9815</v>
      </c>
      <c r="L48" s="23" t="n">
        <f aca="false">SUM(L17:L47)</f>
        <v>1112932.1741</v>
      </c>
    </row>
    <row r="49" customFormat="false" ht="15" hidden="false" customHeight="false" outlineLevel="0" collapsed="false">
      <c r="I49" s="7" t="s">
        <v>324</v>
      </c>
      <c r="J49" s="24" t="n">
        <f aca="false">PARAMETROS!$B$7</f>
        <v>0.196</v>
      </c>
      <c r="K49" s="24" t="n">
        <f aca="false">PARAMETROS!$C$7</f>
        <v>0.2097</v>
      </c>
      <c r="L49" s="24" t="n">
        <f aca="false">PARAMETROS!$D$7</f>
        <v>0.2423</v>
      </c>
    </row>
    <row r="50" customFormat="false" ht="15" hidden="false" customHeight="false" outlineLevel="0" collapsed="false">
      <c r="I50" s="7" t="s">
        <v>325</v>
      </c>
      <c r="J50" s="24" t="n">
        <f aca="false">PARAMETROS!$B$8</f>
        <v>0.05</v>
      </c>
      <c r="K50" s="24" t="n">
        <f aca="false">PARAMETROS!$C$8</f>
        <v>0.1</v>
      </c>
      <c r="L50" s="24" t="n">
        <f aca="false">PARAMETROS!$D$8</f>
        <v>0.15</v>
      </c>
    </row>
    <row r="51" customFormat="false" ht="15" hidden="false" customHeight="false" outlineLevel="0" collapsed="false">
      <c r="I51" s="7" t="s">
        <v>155</v>
      </c>
      <c r="J51" s="25" t="n">
        <f aca="false">PARAMETROS!$B$9</f>
        <v>1</v>
      </c>
      <c r="K51" s="25" t="n">
        <f aca="false">PARAMETROS!$C$9</f>
        <v>1</v>
      </c>
      <c r="L51" s="25" t="n">
        <f aca="false">PARAMETROS!$D$9</f>
        <v>1.1</v>
      </c>
    </row>
    <row r="52" customFormat="false" ht="15" hidden="false" customHeight="false" outlineLevel="0" collapsed="false">
      <c r="I52" s="7" t="s">
        <v>326</v>
      </c>
      <c r="J52" s="8" t="n">
        <f aca="false">J48*(1+J49)*(1+J50)*J51</f>
        <v>307680.84760686</v>
      </c>
      <c r="K52" s="8" t="n">
        <f aca="false">K48*(1+K49)*(1+K50)*K51</f>
        <v>659546.560882605</v>
      </c>
      <c r="L52" s="8" t="n">
        <f aca="false">L48*(1+L49)*(1+L50)*L51</f>
        <v>1748983.4844538</v>
      </c>
    </row>
    <row r="54" customFormat="false" ht="15" hidden="false" customHeight="false" outlineLevel="0" collapsed="false">
      <c r="A54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5" topLeftCell="E16" activePane="bottomRight" state="frozen"/>
      <selection pane="topLeft" activeCell="A1" activeCellId="0" sqref="A1"/>
      <selection pane="topRight" activeCell="E1" activeCellId="0" sqref="E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791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97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86</v>
      </c>
    </row>
    <row r="7" customFormat="false" ht="15" hidden="false" customHeight="false" outlineLevel="0" collapsed="false">
      <c r="A7" s="7" t="s">
        <v>8</v>
      </c>
      <c r="B7" s="10" t="s">
        <v>18</v>
      </c>
    </row>
    <row r="8" customFormat="false" ht="15" hidden="false" customHeight="false" outlineLevel="0" collapsed="false">
      <c r="A8" s="7" t="s">
        <v>160</v>
      </c>
      <c r="B8" s="10" t="s">
        <v>792</v>
      </c>
    </row>
    <row r="9" customFormat="false" ht="15" hidden="false" customHeight="false" outlineLevel="0" collapsed="false">
      <c r="A9" s="7" t="s">
        <v>9</v>
      </c>
      <c r="B9" s="10" t="s">
        <v>99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793</v>
      </c>
    </row>
    <row r="13" customFormat="false" ht="15" hidden="false" customHeight="false" outlineLevel="0" collapsed="false">
      <c r="B13" s="20" t="s">
        <v>794</v>
      </c>
    </row>
    <row r="15" customFormat="false" ht="23.85" hidden="false" customHeight="false" outlineLevel="0" collapsed="false">
      <c r="A15" s="4" t="s">
        <v>171</v>
      </c>
      <c r="B15" s="4" t="s">
        <v>172</v>
      </c>
      <c r="C15" s="4" t="s">
        <v>173</v>
      </c>
      <c r="D15" s="4" t="s">
        <v>174</v>
      </c>
      <c r="E15" s="4" t="s">
        <v>175</v>
      </c>
      <c r="F15" s="4" t="s">
        <v>176</v>
      </c>
      <c r="G15" s="4" t="s">
        <v>177</v>
      </c>
      <c r="H15" s="4" t="s">
        <v>178</v>
      </c>
      <c r="I15" s="4" t="s">
        <v>179</v>
      </c>
      <c r="J15" s="4" t="s">
        <v>180</v>
      </c>
      <c r="K15" s="4" t="s">
        <v>181</v>
      </c>
      <c r="L15" s="4" t="s">
        <v>182</v>
      </c>
      <c r="M15" s="4" t="s">
        <v>183</v>
      </c>
    </row>
    <row r="16" customFormat="false" ht="15" hidden="false" customHeight="false" outlineLevel="0" collapsed="false">
      <c r="A16" s="5" t="s">
        <v>795</v>
      </c>
      <c r="B16" s="5" t="s">
        <v>338</v>
      </c>
      <c r="C16" s="5" t="s">
        <v>186</v>
      </c>
      <c r="D16" s="5" t="s">
        <v>339</v>
      </c>
      <c r="E16" s="5" t="s">
        <v>317</v>
      </c>
      <c r="F16" s="21" t="n">
        <v>103.4</v>
      </c>
      <c r="G16" s="21" t="n">
        <v>2</v>
      </c>
      <c r="H16" s="21" t="n">
        <v>3</v>
      </c>
      <c r="I16" s="21" t="n">
        <v>4</v>
      </c>
      <c r="J16" s="22" t="n">
        <f aca="false">F16*G16</f>
        <v>206.8</v>
      </c>
      <c r="K16" s="22" t="n">
        <f aca="false">F16*H16</f>
        <v>310.2</v>
      </c>
      <c r="L16" s="22" t="n">
        <f aca="false">F16*I16</f>
        <v>413.6</v>
      </c>
      <c r="M16" s="5" t="s">
        <v>796</v>
      </c>
    </row>
    <row r="17" customFormat="false" ht="15" hidden="false" customHeight="false" outlineLevel="0" collapsed="false">
      <c r="A17" s="5" t="s">
        <v>795</v>
      </c>
      <c r="B17" s="5" t="s">
        <v>797</v>
      </c>
      <c r="C17" s="5" t="s">
        <v>186</v>
      </c>
      <c r="D17" s="5" t="s">
        <v>798</v>
      </c>
      <c r="E17" s="5" t="s">
        <v>317</v>
      </c>
      <c r="F17" s="21" t="n">
        <v>1194.23</v>
      </c>
      <c r="G17" s="21" t="n">
        <v>1.6</v>
      </c>
      <c r="H17" s="21" t="n">
        <v>2.4</v>
      </c>
      <c r="I17" s="21" t="n">
        <v>3.2</v>
      </c>
      <c r="J17" s="22" t="n">
        <f aca="false">F17*G17</f>
        <v>1910.768</v>
      </c>
      <c r="K17" s="22" t="n">
        <f aca="false">F17*H17</f>
        <v>2866.152</v>
      </c>
      <c r="L17" s="22" t="n">
        <f aca="false">F17*I17</f>
        <v>3821.536</v>
      </c>
      <c r="M17" s="5" t="s">
        <v>799</v>
      </c>
    </row>
    <row r="18" customFormat="false" ht="15" hidden="false" customHeight="false" outlineLevel="0" collapsed="false">
      <c r="A18" s="5" t="s">
        <v>795</v>
      </c>
      <c r="B18" s="5" t="s">
        <v>344</v>
      </c>
      <c r="C18" s="5" t="s">
        <v>186</v>
      </c>
      <c r="D18" s="5" t="s">
        <v>345</v>
      </c>
      <c r="E18" s="5" t="s">
        <v>346</v>
      </c>
      <c r="F18" s="21" t="n">
        <v>10.41</v>
      </c>
      <c r="G18" s="21" t="n">
        <v>80</v>
      </c>
      <c r="H18" s="21" t="n">
        <v>120</v>
      </c>
      <c r="I18" s="21" t="n">
        <v>160</v>
      </c>
      <c r="J18" s="22" t="n">
        <f aca="false">F18*G18</f>
        <v>832.8</v>
      </c>
      <c r="K18" s="22" t="n">
        <f aca="false">F18*H18</f>
        <v>1249.2</v>
      </c>
      <c r="L18" s="22" t="n">
        <f aca="false">F18*I18</f>
        <v>1665.6</v>
      </c>
      <c r="M18" s="5" t="s">
        <v>800</v>
      </c>
    </row>
    <row r="19" customFormat="false" ht="15" hidden="false" customHeight="false" outlineLevel="0" collapsed="false">
      <c r="A19" s="5" t="s">
        <v>801</v>
      </c>
      <c r="B19" s="5" t="s">
        <v>524</v>
      </c>
      <c r="C19" s="5" t="s">
        <v>186</v>
      </c>
      <c r="D19" s="5" t="s">
        <v>525</v>
      </c>
      <c r="E19" s="5" t="s">
        <v>346</v>
      </c>
      <c r="F19" s="21" t="n">
        <v>13.77</v>
      </c>
      <c r="G19" s="21" t="n">
        <v>600</v>
      </c>
      <c r="H19" s="21" t="n">
        <v>900</v>
      </c>
      <c r="I19" s="21" t="n">
        <v>1200</v>
      </c>
      <c r="J19" s="22" t="n">
        <f aca="false">F19*G19</f>
        <v>8262</v>
      </c>
      <c r="K19" s="22" t="n">
        <f aca="false">F19*H19</f>
        <v>12393</v>
      </c>
      <c r="L19" s="22" t="n">
        <f aca="false">F19*I19</f>
        <v>16524</v>
      </c>
      <c r="M19" s="5" t="s">
        <v>802</v>
      </c>
    </row>
    <row r="20" customFormat="false" ht="15" hidden="false" customHeight="false" outlineLevel="0" collapsed="false">
      <c r="A20" s="5" t="s">
        <v>801</v>
      </c>
      <c r="B20" s="5" t="s">
        <v>527</v>
      </c>
      <c r="C20" s="5" t="s">
        <v>186</v>
      </c>
      <c r="D20" s="5" t="s">
        <v>528</v>
      </c>
      <c r="E20" s="5" t="s">
        <v>188</v>
      </c>
      <c r="F20" s="21" t="n">
        <v>192.73</v>
      </c>
      <c r="G20" s="21" t="n">
        <v>24</v>
      </c>
      <c r="H20" s="21" t="n">
        <v>36</v>
      </c>
      <c r="I20" s="21" t="n">
        <v>48</v>
      </c>
      <c r="J20" s="22" t="n">
        <f aca="false">F20*G20</f>
        <v>4625.52</v>
      </c>
      <c r="K20" s="22" t="n">
        <f aca="false">F20*H20</f>
        <v>6938.28</v>
      </c>
      <c r="L20" s="22" t="n">
        <f aca="false">F20*I20</f>
        <v>9251.04</v>
      </c>
      <c r="M20" s="5" t="s">
        <v>803</v>
      </c>
    </row>
    <row r="21" customFormat="false" ht="15" hidden="false" customHeight="false" outlineLevel="0" collapsed="false">
      <c r="A21" s="5" t="s">
        <v>804</v>
      </c>
      <c r="B21" s="5" t="s">
        <v>517</v>
      </c>
      <c r="C21" s="5" t="s">
        <v>186</v>
      </c>
      <c r="D21" s="5" t="s">
        <v>518</v>
      </c>
      <c r="E21" s="5" t="s">
        <v>188</v>
      </c>
      <c r="F21" s="21" t="n">
        <v>103.21</v>
      </c>
      <c r="G21" s="21" t="n">
        <v>24</v>
      </c>
      <c r="H21" s="21" t="n">
        <v>36</v>
      </c>
      <c r="I21" s="21" t="n">
        <v>48</v>
      </c>
      <c r="J21" s="22" t="n">
        <f aca="false">F21*G21</f>
        <v>2477.04</v>
      </c>
      <c r="K21" s="22" t="n">
        <f aca="false">F21*H21</f>
        <v>3715.56</v>
      </c>
      <c r="L21" s="22" t="n">
        <f aca="false">F21*I21</f>
        <v>4954.08</v>
      </c>
      <c r="M21" s="5" t="s">
        <v>805</v>
      </c>
    </row>
    <row r="22" customFormat="false" ht="15" hidden="false" customHeight="false" outlineLevel="0" collapsed="false">
      <c r="A22" s="5" t="s">
        <v>804</v>
      </c>
      <c r="B22" s="5" t="s">
        <v>797</v>
      </c>
      <c r="C22" s="5" t="s">
        <v>186</v>
      </c>
      <c r="D22" s="5" t="s">
        <v>798</v>
      </c>
      <c r="E22" s="5" t="s">
        <v>317</v>
      </c>
      <c r="F22" s="21" t="n">
        <v>1194.23</v>
      </c>
      <c r="G22" s="21" t="n">
        <v>0.6</v>
      </c>
      <c r="H22" s="21" t="n">
        <v>0.9</v>
      </c>
      <c r="I22" s="21" t="n">
        <v>1.2</v>
      </c>
      <c r="J22" s="22" t="n">
        <f aca="false">F22*G22</f>
        <v>716.538</v>
      </c>
      <c r="K22" s="22" t="n">
        <f aca="false">F22*H22</f>
        <v>1074.807</v>
      </c>
      <c r="L22" s="22" t="n">
        <f aca="false">F22*I22</f>
        <v>1433.076</v>
      </c>
      <c r="M22" s="5" t="s">
        <v>806</v>
      </c>
    </row>
    <row r="23" customFormat="false" ht="15" hidden="false" customHeight="false" outlineLevel="0" collapsed="false">
      <c r="A23" s="5" t="s">
        <v>804</v>
      </c>
      <c r="B23" s="5" t="s">
        <v>807</v>
      </c>
      <c r="C23" s="5" t="s">
        <v>186</v>
      </c>
      <c r="D23" s="5" t="s">
        <v>808</v>
      </c>
      <c r="E23" s="5" t="s">
        <v>188</v>
      </c>
      <c r="F23" s="21" t="n">
        <v>171.51</v>
      </c>
      <c r="G23" s="21" t="n">
        <v>8</v>
      </c>
      <c r="H23" s="21" t="n">
        <v>12</v>
      </c>
      <c r="I23" s="21" t="n">
        <v>16</v>
      </c>
      <c r="J23" s="22" t="n">
        <f aca="false">F23*G23</f>
        <v>1372.08</v>
      </c>
      <c r="K23" s="22" t="n">
        <f aca="false">F23*H23</f>
        <v>2058.12</v>
      </c>
      <c r="L23" s="22" t="n">
        <f aca="false">F23*I23</f>
        <v>2744.16</v>
      </c>
      <c r="M23" s="5" t="s">
        <v>809</v>
      </c>
    </row>
    <row r="24" customFormat="false" ht="15" hidden="false" customHeight="false" outlineLevel="0" collapsed="false">
      <c r="I24" s="7" t="s">
        <v>323</v>
      </c>
      <c r="J24" s="23" t="n">
        <f aca="false">SUM(J16:J23)</f>
        <v>20403.546</v>
      </c>
      <c r="K24" s="23" t="n">
        <f aca="false">SUM(K16:K23)</f>
        <v>30605.319</v>
      </c>
      <c r="L24" s="23" t="n">
        <f aca="false">SUM(L16:L23)</f>
        <v>40807.092</v>
      </c>
    </row>
    <row r="25" customFormat="false" ht="15" hidden="false" customHeight="false" outlineLevel="0" collapsed="false">
      <c r="I25" s="7" t="s">
        <v>324</v>
      </c>
      <c r="J25" s="24" t="n">
        <f aca="false">PARAMETROS!$B$6</f>
        <v>0.2034</v>
      </c>
      <c r="K25" s="24" t="n">
        <f aca="false">PARAMETROS!$C$6</f>
        <v>0.2212</v>
      </c>
      <c r="L25" s="24" t="n">
        <f aca="false">PARAMETROS!$D$6</f>
        <v>0.25</v>
      </c>
    </row>
    <row r="26" customFormat="false" ht="15" hidden="false" customHeight="false" outlineLevel="0" collapsed="false">
      <c r="I26" s="7" t="s">
        <v>325</v>
      </c>
      <c r="J26" s="24" t="n">
        <f aca="false">PARAMETROS!$B$8</f>
        <v>0.05</v>
      </c>
      <c r="K26" s="24" t="n">
        <f aca="false">PARAMETROS!$C$8</f>
        <v>0.1</v>
      </c>
      <c r="L26" s="24" t="n">
        <f aca="false">PARAMETROS!$D$8</f>
        <v>0.15</v>
      </c>
    </row>
    <row r="27" customFormat="false" ht="15" hidden="false" customHeight="false" outlineLevel="0" collapsed="false">
      <c r="I27" s="7" t="s">
        <v>155</v>
      </c>
      <c r="J27" s="25" t="n">
        <f aca="false">PARAMETROS!$B$9</f>
        <v>1</v>
      </c>
      <c r="K27" s="25" t="n">
        <f aca="false">PARAMETROS!$C$9</f>
        <v>1</v>
      </c>
      <c r="L27" s="25" t="n">
        <f aca="false">PARAMETROS!$D$9</f>
        <v>1.1</v>
      </c>
    </row>
    <row r="28" customFormat="false" ht="15" hidden="false" customHeight="false" outlineLevel="0" collapsed="false">
      <c r="I28" s="7" t="s">
        <v>326</v>
      </c>
      <c r="J28" s="8" t="n">
        <f aca="false">J24*(1+J25)*(1+J26)*J27</f>
        <v>25781.30861922</v>
      </c>
      <c r="K28" s="8" t="n">
        <f aca="false">K24*(1+K25)*(1+K26)*K27</f>
        <v>41112.73711908</v>
      </c>
      <c r="L28" s="8" t="n">
        <f aca="false">L24*(1+L25)*(1+L26)*L27</f>
        <v>64526.214225</v>
      </c>
    </row>
    <row r="30" customFormat="false" ht="15" hidden="false" customHeight="false" outlineLevel="0" collapsed="false">
      <c r="A30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6" topLeftCell="E17" activePane="bottomRight" state="frozen"/>
      <selection pane="topLeft" activeCell="A1" activeCellId="0" sqref="A1"/>
      <selection pane="topRight" activeCell="E1" activeCellId="0" sqref="E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810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101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103</v>
      </c>
    </row>
    <row r="7" customFormat="false" ht="15" hidden="false" customHeight="false" outlineLevel="0" collapsed="false">
      <c r="A7" s="7" t="s">
        <v>8</v>
      </c>
      <c r="B7" s="10" t="s">
        <v>23</v>
      </c>
    </row>
    <row r="8" customFormat="false" ht="15" hidden="false" customHeight="false" outlineLevel="0" collapsed="false">
      <c r="A8" s="7" t="s">
        <v>160</v>
      </c>
      <c r="B8" s="10" t="s">
        <v>811</v>
      </c>
    </row>
    <row r="9" customFormat="false" ht="15" hidden="false" customHeight="false" outlineLevel="0" collapsed="false">
      <c r="A9" s="7" t="s">
        <v>9</v>
      </c>
      <c r="B9" s="10" t="s">
        <v>104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812</v>
      </c>
    </row>
    <row r="13" customFormat="false" ht="15" hidden="false" customHeight="false" outlineLevel="0" collapsed="false">
      <c r="B13" s="20" t="s">
        <v>813</v>
      </c>
    </row>
    <row r="14" customFormat="false" ht="15" hidden="false" customHeight="false" outlineLevel="0" collapsed="false">
      <c r="B14" s="20" t="s">
        <v>332</v>
      </c>
    </row>
    <row r="16" customFormat="false" ht="23.85" hidden="false" customHeight="false" outlineLevel="0" collapsed="false">
      <c r="A16" s="4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</row>
    <row r="17" customFormat="false" ht="15" hidden="false" customHeight="false" outlineLevel="0" collapsed="false">
      <c r="A17" s="5" t="s">
        <v>333</v>
      </c>
      <c r="B17" s="5" t="s">
        <v>334</v>
      </c>
      <c r="C17" s="5" t="s">
        <v>186</v>
      </c>
      <c r="D17" s="5" t="s">
        <v>335</v>
      </c>
      <c r="E17" s="5" t="s">
        <v>194</v>
      </c>
      <c r="F17" s="21" t="n">
        <v>75.94</v>
      </c>
      <c r="G17" s="21" t="n">
        <v>52.5</v>
      </c>
      <c r="H17" s="21" t="n">
        <v>100</v>
      </c>
      <c r="I17" s="21" t="n">
        <v>157.5</v>
      </c>
      <c r="J17" s="22" t="n">
        <f aca="false">F17*G17</f>
        <v>3986.85</v>
      </c>
      <c r="K17" s="22" t="n">
        <f aca="false">F17*H17</f>
        <v>7594</v>
      </c>
      <c r="L17" s="22" t="n">
        <f aca="false">F17*I17</f>
        <v>11960.55</v>
      </c>
      <c r="M17" s="5" t="s">
        <v>336</v>
      </c>
    </row>
    <row r="18" customFormat="false" ht="15" hidden="false" customHeight="false" outlineLevel="0" collapsed="false">
      <c r="A18" s="5" t="s">
        <v>337</v>
      </c>
      <c r="B18" s="5" t="s">
        <v>338</v>
      </c>
      <c r="C18" s="5" t="s">
        <v>186</v>
      </c>
      <c r="D18" s="5" t="s">
        <v>339</v>
      </c>
      <c r="E18" s="5" t="s">
        <v>317</v>
      </c>
      <c r="F18" s="21" t="n">
        <v>103.4</v>
      </c>
      <c r="G18" s="21" t="n">
        <v>16.8</v>
      </c>
      <c r="H18" s="21" t="n">
        <v>32</v>
      </c>
      <c r="I18" s="21" t="n">
        <v>50.4</v>
      </c>
      <c r="J18" s="22" t="n">
        <f aca="false">F18*G18</f>
        <v>1737.12</v>
      </c>
      <c r="K18" s="22" t="n">
        <f aca="false">F18*H18</f>
        <v>3308.8</v>
      </c>
      <c r="L18" s="22" t="n">
        <f aca="false">F18*I18</f>
        <v>5211.36</v>
      </c>
      <c r="M18" s="5" t="s">
        <v>340</v>
      </c>
    </row>
    <row r="19" customFormat="false" ht="15" hidden="false" customHeight="false" outlineLevel="0" collapsed="false">
      <c r="A19" s="5" t="s">
        <v>337</v>
      </c>
      <c r="B19" s="5" t="s">
        <v>341</v>
      </c>
      <c r="C19" s="5" t="s">
        <v>186</v>
      </c>
      <c r="D19" s="5" t="s">
        <v>342</v>
      </c>
      <c r="E19" s="5" t="s">
        <v>317</v>
      </c>
      <c r="F19" s="21" t="n">
        <v>828.32</v>
      </c>
      <c r="G19" s="21" t="n">
        <v>25.2</v>
      </c>
      <c r="H19" s="21" t="n">
        <v>48</v>
      </c>
      <c r="I19" s="21" t="n">
        <v>75.6</v>
      </c>
      <c r="J19" s="22" t="n">
        <f aca="false">F19*G19</f>
        <v>20873.664</v>
      </c>
      <c r="K19" s="22" t="n">
        <f aca="false">F19*H19</f>
        <v>39759.36</v>
      </c>
      <c r="L19" s="22" t="n">
        <f aca="false">F19*I19</f>
        <v>62620.992</v>
      </c>
      <c r="M19" s="5" t="s">
        <v>343</v>
      </c>
    </row>
    <row r="20" customFormat="false" ht="15" hidden="false" customHeight="false" outlineLevel="0" collapsed="false">
      <c r="A20" s="5" t="s">
        <v>337</v>
      </c>
      <c r="B20" s="5" t="s">
        <v>344</v>
      </c>
      <c r="C20" s="5" t="s">
        <v>186</v>
      </c>
      <c r="D20" s="5" t="s">
        <v>345</v>
      </c>
      <c r="E20" s="5" t="s">
        <v>346</v>
      </c>
      <c r="F20" s="21" t="n">
        <v>10.41</v>
      </c>
      <c r="G20" s="21" t="n">
        <v>2100</v>
      </c>
      <c r="H20" s="21" t="n">
        <v>4000</v>
      </c>
      <c r="I20" s="21" t="n">
        <v>6300</v>
      </c>
      <c r="J20" s="22" t="n">
        <f aca="false">F20*G20</f>
        <v>21861</v>
      </c>
      <c r="K20" s="22" t="n">
        <f aca="false">F20*H20</f>
        <v>41640</v>
      </c>
      <c r="L20" s="22" t="n">
        <f aca="false">F20*I20</f>
        <v>65583</v>
      </c>
      <c r="M20" s="5" t="s">
        <v>347</v>
      </c>
    </row>
    <row r="21" customFormat="false" ht="15" hidden="false" customHeight="false" outlineLevel="0" collapsed="false">
      <c r="A21" s="5" t="s">
        <v>337</v>
      </c>
      <c r="B21" s="5" t="s">
        <v>348</v>
      </c>
      <c r="C21" s="5" t="s">
        <v>186</v>
      </c>
      <c r="D21" s="5" t="s">
        <v>349</v>
      </c>
      <c r="E21" s="5" t="s">
        <v>188</v>
      </c>
      <c r="F21" s="21" t="n">
        <v>122.64</v>
      </c>
      <c r="G21" s="21" t="n">
        <v>231</v>
      </c>
      <c r="H21" s="21" t="n">
        <v>440</v>
      </c>
      <c r="I21" s="21" t="n">
        <v>693</v>
      </c>
      <c r="J21" s="22" t="n">
        <f aca="false">F21*G21</f>
        <v>28329.84</v>
      </c>
      <c r="K21" s="22" t="n">
        <f aca="false">F21*H21</f>
        <v>53961.6</v>
      </c>
      <c r="L21" s="22" t="n">
        <f aca="false">F21*I21</f>
        <v>84989.52</v>
      </c>
      <c r="M21" s="5" t="s">
        <v>350</v>
      </c>
    </row>
    <row r="22" customFormat="false" ht="15" hidden="false" customHeight="false" outlineLevel="0" collapsed="false">
      <c r="A22" s="5" t="s">
        <v>351</v>
      </c>
      <c r="B22" s="5" t="s">
        <v>352</v>
      </c>
      <c r="C22" s="5" t="s">
        <v>186</v>
      </c>
      <c r="D22" s="5" t="s">
        <v>353</v>
      </c>
      <c r="E22" s="5" t="s">
        <v>188</v>
      </c>
      <c r="F22" s="21" t="n">
        <v>119.54</v>
      </c>
      <c r="G22" s="21" t="n">
        <v>315</v>
      </c>
      <c r="H22" s="21" t="n">
        <v>600</v>
      </c>
      <c r="I22" s="21" t="n">
        <v>945</v>
      </c>
      <c r="J22" s="22" t="n">
        <f aca="false">F22*G22</f>
        <v>37655.1</v>
      </c>
      <c r="K22" s="22" t="n">
        <f aca="false">F22*H22</f>
        <v>71724</v>
      </c>
      <c r="L22" s="22" t="n">
        <f aca="false">F22*I22</f>
        <v>112965.3</v>
      </c>
      <c r="M22" s="5" t="s">
        <v>354</v>
      </c>
    </row>
    <row r="23" customFormat="false" ht="15" hidden="false" customHeight="false" outlineLevel="0" collapsed="false">
      <c r="A23" s="5" t="s">
        <v>351</v>
      </c>
      <c r="B23" s="5" t="s">
        <v>249</v>
      </c>
      <c r="C23" s="5" t="s">
        <v>186</v>
      </c>
      <c r="D23" s="5" t="s">
        <v>250</v>
      </c>
      <c r="E23" s="5" t="s">
        <v>188</v>
      </c>
      <c r="F23" s="21" t="n">
        <v>6.03</v>
      </c>
      <c r="G23" s="21" t="n">
        <v>630</v>
      </c>
      <c r="H23" s="21" t="n">
        <v>1200</v>
      </c>
      <c r="I23" s="21" t="n">
        <v>1890</v>
      </c>
      <c r="J23" s="22" t="n">
        <f aca="false">F23*G23</f>
        <v>3798.9</v>
      </c>
      <c r="K23" s="22" t="n">
        <f aca="false">F23*H23</f>
        <v>7236</v>
      </c>
      <c r="L23" s="22" t="n">
        <f aca="false">F23*I23</f>
        <v>11396.7</v>
      </c>
      <c r="M23" s="5" t="s">
        <v>355</v>
      </c>
    </row>
    <row r="24" customFormat="false" ht="15" hidden="false" customHeight="false" outlineLevel="0" collapsed="false">
      <c r="A24" s="5" t="s">
        <v>351</v>
      </c>
      <c r="B24" s="5" t="s">
        <v>252</v>
      </c>
      <c r="C24" s="5" t="s">
        <v>186</v>
      </c>
      <c r="D24" s="5" t="s">
        <v>253</v>
      </c>
      <c r="E24" s="5" t="s">
        <v>188</v>
      </c>
      <c r="F24" s="21" t="n">
        <v>31.79</v>
      </c>
      <c r="G24" s="21" t="n">
        <v>504</v>
      </c>
      <c r="H24" s="21" t="n">
        <v>960</v>
      </c>
      <c r="I24" s="21" t="n">
        <v>1512</v>
      </c>
      <c r="J24" s="22" t="n">
        <f aca="false">F24*G24</f>
        <v>16022.16</v>
      </c>
      <c r="K24" s="22" t="n">
        <f aca="false">F24*H24</f>
        <v>30518.4</v>
      </c>
      <c r="L24" s="22" t="n">
        <f aca="false">F24*I24</f>
        <v>48066.48</v>
      </c>
      <c r="M24" s="5" t="s">
        <v>356</v>
      </c>
    </row>
    <row r="25" customFormat="false" ht="15" hidden="false" customHeight="false" outlineLevel="0" collapsed="false">
      <c r="A25" s="5" t="s">
        <v>351</v>
      </c>
      <c r="B25" s="5" t="s">
        <v>357</v>
      </c>
      <c r="C25" s="5" t="s">
        <v>186</v>
      </c>
      <c r="D25" s="5" t="s">
        <v>358</v>
      </c>
      <c r="E25" s="5" t="s">
        <v>188</v>
      </c>
      <c r="F25" s="21" t="n">
        <v>83.28</v>
      </c>
      <c r="G25" s="21" t="n">
        <v>126</v>
      </c>
      <c r="H25" s="21" t="n">
        <v>240</v>
      </c>
      <c r="I25" s="21" t="n">
        <v>378</v>
      </c>
      <c r="J25" s="22" t="n">
        <f aca="false">F25*G25</f>
        <v>10493.28</v>
      </c>
      <c r="K25" s="22" t="n">
        <f aca="false">F25*H25</f>
        <v>19987.2</v>
      </c>
      <c r="L25" s="22" t="n">
        <f aca="false">F25*I25</f>
        <v>31479.84</v>
      </c>
      <c r="M25" s="5" t="s">
        <v>359</v>
      </c>
    </row>
    <row r="26" customFormat="false" ht="15" hidden="false" customHeight="false" outlineLevel="0" collapsed="false">
      <c r="A26" s="5" t="s">
        <v>351</v>
      </c>
      <c r="B26" s="5" t="s">
        <v>255</v>
      </c>
      <c r="C26" s="5" t="s">
        <v>186</v>
      </c>
      <c r="D26" s="5" t="s">
        <v>256</v>
      </c>
      <c r="E26" s="5" t="s">
        <v>188</v>
      </c>
      <c r="F26" s="21" t="n">
        <v>59.3</v>
      </c>
      <c r="G26" s="21" t="n">
        <v>63</v>
      </c>
      <c r="H26" s="21" t="n">
        <v>120</v>
      </c>
      <c r="I26" s="21" t="n">
        <v>189</v>
      </c>
      <c r="J26" s="22" t="n">
        <f aca="false">F26*G26</f>
        <v>3735.9</v>
      </c>
      <c r="K26" s="22" t="n">
        <f aca="false">F26*H26</f>
        <v>7116</v>
      </c>
      <c r="L26" s="22" t="n">
        <f aca="false">F26*I26</f>
        <v>11207.7</v>
      </c>
      <c r="M26" s="5" t="s">
        <v>360</v>
      </c>
    </row>
    <row r="27" customFormat="false" ht="15" hidden="false" customHeight="false" outlineLevel="0" collapsed="false">
      <c r="A27" s="5" t="s">
        <v>361</v>
      </c>
      <c r="B27" s="5" t="s">
        <v>362</v>
      </c>
      <c r="C27" s="5" t="s">
        <v>186</v>
      </c>
      <c r="D27" s="5" t="s">
        <v>363</v>
      </c>
      <c r="E27" s="5" t="s">
        <v>188</v>
      </c>
      <c r="F27" s="21" t="n">
        <v>48.41</v>
      </c>
      <c r="G27" s="21" t="n">
        <v>210</v>
      </c>
      <c r="H27" s="21" t="n">
        <v>400</v>
      </c>
      <c r="I27" s="21" t="n">
        <v>630</v>
      </c>
      <c r="J27" s="22" t="n">
        <f aca="false">F27*G27</f>
        <v>10166.1</v>
      </c>
      <c r="K27" s="22" t="n">
        <f aca="false">F27*H27</f>
        <v>19364</v>
      </c>
      <c r="L27" s="22" t="n">
        <f aca="false">F27*I27</f>
        <v>30498.3</v>
      </c>
      <c r="M27" s="5" t="s">
        <v>364</v>
      </c>
    </row>
    <row r="28" customFormat="false" ht="15" hidden="false" customHeight="false" outlineLevel="0" collapsed="false">
      <c r="A28" s="5" t="s">
        <v>361</v>
      </c>
      <c r="B28" s="5" t="s">
        <v>258</v>
      </c>
      <c r="C28" s="5" t="s">
        <v>186</v>
      </c>
      <c r="D28" s="5" t="s">
        <v>259</v>
      </c>
      <c r="E28" s="5" t="s">
        <v>188</v>
      </c>
      <c r="F28" s="21" t="n">
        <v>58.19</v>
      </c>
      <c r="G28" s="21" t="n">
        <v>210</v>
      </c>
      <c r="H28" s="21" t="n">
        <v>400</v>
      </c>
      <c r="I28" s="21" t="n">
        <v>630</v>
      </c>
      <c r="J28" s="22" t="n">
        <f aca="false">F28*G28</f>
        <v>12219.9</v>
      </c>
      <c r="K28" s="22" t="n">
        <f aca="false">F28*H28</f>
        <v>23276</v>
      </c>
      <c r="L28" s="22" t="n">
        <f aca="false">F28*I28</f>
        <v>36659.7</v>
      </c>
      <c r="M28" s="5" t="s">
        <v>365</v>
      </c>
    </row>
    <row r="29" customFormat="false" ht="15" hidden="false" customHeight="false" outlineLevel="0" collapsed="false">
      <c r="A29" s="5" t="s">
        <v>361</v>
      </c>
      <c r="B29" s="5" t="s">
        <v>261</v>
      </c>
      <c r="C29" s="5" t="s">
        <v>186</v>
      </c>
      <c r="D29" s="5" t="s">
        <v>262</v>
      </c>
      <c r="E29" s="5" t="s">
        <v>188</v>
      </c>
      <c r="F29" s="21" t="n">
        <v>50.14</v>
      </c>
      <c r="G29" s="21" t="n">
        <v>210</v>
      </c>
      <c r="H29" s="21" t="n">
        <v>400</v>
      </c>
      <c r="I29" s="21" t="n">
        <v>630</v>
      </c>
      <c r="J29" s="22" t="n">
        <f aca="false">F29*G29</f>
        <v>10529.4</v>
      </c>
      <c r="K29" s="22" t="n">
        <f aca="false">F29*H29</f>
        <v>20056</v>
      </c>
      <c r="L29" s="22" t="n">
        <f aca="false">F29*I29</f>
        <v>31588.2</v>
      </c>
      <c r="M29" s="5" t="s">
        <v>366</v>
      </c>
    </row>
    <row r="30" customFormat="false" ht="15" hidden="false" customHeight="false" outlineLevel="0" collapsed="false">
      <c r="A30" s="5" t="s">
        <v>361</v>
      </c>
      <c r="B30" s="5" t="s">
        <v>367</v>
      </c>
      <c r="C30" s="5" t="s">
        <v>186</v>
      </c>
      <c r="D30" s="5" t="s">
        <v>368</v>
      </c>
      <c r="E30" s="5" t="s">
        <v>188</v>
      </c>
      <c r="F30" s="21" t="n">
        <v>91.17</v>
      </c>
      <c r="G30" s="21" t="n">
        <v>31.5</v>
      </c>
      <c r="H30" s="21" t="n">
        <v>60</v>
      </c>
      <c r="I30" s="21" t="n">
        <v>94.5</v>
      </c>
      <c r="J30" s="22" t="n">
        <f aca="false">F30*G30</f>
        <v>2871.855</v>
      </c>
      <c r="K30" s="22" t="n">
        <f aca="false">F30*H30</f>
        <v>5470.2</v>
      </c>
      <c r="L30" s="22" t="n">
        <f aca="false">F30*I30</f>
        <v>8615.565</v>
      </c>
      <c r="M30" s="5" t="s">
        <v>369</v>
      </c>
    </row>
    <row r="31" customFormat="false" ht="15" hidden="false" customHeight="false" outlineLevel="0" collapsed="false">
      <c r="A31" s="5" t="s">
        <v>370</v>
      </c>
      <c r="B31" s="5" t="s">
        <v>239</v>
      </c>
      <c r="C31" s="5" t="s">
        <v>186</v>
      </c>
      <c r="D31" s="5" t="s">
        <v>240</v>
      </c>
      <c r="E31" s="5" t="s">
        <v>188</v>
      </c>
      <c r="F31" s="21" t="n">
        <v>101.54</v>
      </c>
      <c r="G31" s="21" t="n">
        <v>262.5</v>
      </c>
      <c r="H31" s="21" t="n">
        <v>500</v>
      </c>
      <c r="I31" s="21" t="n">
        <v>787.5</v>
      </c>
      <c r="J31" s="22" t="n">
        <f aca="false">F31*G31</f>
        <v>26654.25</v>
      </c>
      <c r="K31" s="22" t="n">
        <f aca="false">F31*H31</f>
        <v>50770</v>
      </c>
      <c r="L31" s="22" t="n">
        <f aca="false">F31*I31</f>
        <v>79962.75</v>
      </c>
      <c r="M31" s="5" t="s">
        <v>371</v>
      </c>
    </row>
    <row r="32" customFormat="false" ht="15" hidden="false" customHeight="false" outlineLevel="0" collapsed="false">
      <c r="A32" s="5" t="s">
        <v>370</v>
      </c>
      <c r="B32" s="5" t="s">
        <v>242</v>
      </c>
      <c r="C32" s="5" t="s">
        <v>186</v>
      </c>
      <c r="D32" s="5" t="s">
        <v>243</v>
      </c>
      <c r="E32" s="5" t="s">
        <v>188</v>
      </c>
      <c r="F32" s="21" t="n">
        <v>42.42</v>
      </c>
      <c r="G32" s="21" t="n">
        <v>262.5</v>
      </c>
      <c r="H32" s="21" t="n">
        <v>500</v>
      </c>
      <c r="I32" s="21" t="n">
        <v>787.5</v>
      </c>
      <c r="J32" s="22" t="n">
        <f aca="false">F32*G32</f>
        <v>11135.25</v>
      </c>
      <c r="K32" s="22" t="n">
        <f aca="false">F32*H32</f>
        <v>21210</v>
      </c>
      <c r="L32" s="22" t="n">
        <f aca="false">F32*I32</f>
        <v>33405.75</v>
      </c>
      <c r="M32" s="5" t="s">
        <v>372</v>
      </c>
    </row>
    <row r="33" customFormat="false" ht="15" hidden="false" customHeight="false" outlineLevel="0" collapsed="false">
      <c r="A33" s="5" t="s">
        <v>370</v>
      </c>
      <c r="B33" s="5" t="s">
        <v>245</v>
      </c>
      <c r="C33" s="5" t="s">
        <v>186</v>
      </c>
      <c r="D33" s="5" t="s">
        <v>246</v>
      </c>
      <c r="E33" s="5" t="s">
        <v>188</v>
      </c>
      <c r="F33" s="21" t="n">
        <v>73.2</v>
      </c>
      <c r="G33" s="21" t="n">
        <v>189</v>
      </c>
      <c r="H33" s="21" t="n">
        <v>360</v>
      </c>
      <c r="I33" s="21" t="n">
        <v>567</v>
      </c>
      <c r="J33" s="22" t="n">
        <f aca="false">F33*G33</f>
        <v>13834.8</v>
      </c>
      <c r="K33" s="22" t="n">
        <f aca="false">F33*H33</f>
        <v>26352</v>
      </c>
      <c r="L33" s="22" t="n">
        <f aca="false">F33*I33</f>
        <v>41504.4</v>
      </c>
      <c r="M33" s="5" t="s">
        <v>373</v>
      </c>
    </row>
    <row r="34" customFormat="false" ht="15" hidden="false" customHeight="false" outlineLevel="0" collapsed="false">
      <c r="A34" s="5" t="s">
        <v>374</v>
      </c>
      <c r="B34" s="5" t="s">
        <v>275</v>
      </c>
      <c r="C34" s="5" t="s">
        <v>186</v>
      </c>
      <c r="D34" s="5" t="s">
        <v>276</v>
      </c>
      <c r="E34" s="5" t="s">
        <v>277</v>
      </c>
      <c r="F34" s="21" t="n">
        <v>1179.17</v>
      </c>
      <c r="G34" s="21" t="n">
        <v>14</v>
      </c>
      <c r="H34" s="21" t="n">
        <v>26.67</v>
      </c>
      <c r="I34" s="21" t="n">
        <v>42</v>
      </c>
      <c r="J34" s="22" t="n">
        <f aca="false">F34*G34</f>
        <v>16508.38</v>
      </c>
      <c r="K34" s="22" t="n">
        <f aca="false">F34*H34</f>
        <v>31448.4639</v>
      </c>
      <c r="L34" s="22" t="n">
        <f aca="false">F34*I34</f>
        <v>49525.14</v>
      </c>
      <c r="M34" s="5" t="s">
        <v>375</v>
      </c>
    </row>
    <row r="35" customFormat="false" ht="15" hidden="false" customHeight="false" outlineLevel="0" collapsed="false">
      <c r="A35" s="5" t="s">
        <v>374</v>
      </c>
      <c r="B35" s="5" t="s">
        <v>272</v>
      </c>
      <c r="C35" s="5" t="s">
        <v>186</v>
      </c>
      <c r="D35" s="5" t="s">
        <v>273</v>
      </c>
      <c r="E35" s="5" t="s">
        <v>188</v>
      </c>
      <c r="F35" s="21" t="n">
        <v>223.25</v>
      </c>
      <c r="G35" s="21" t="n">
        <v>31.5</v>
      </c>
      <c r="H35" s="21" t="n">
        <v>60</v>
      </c>
      <c r="I35" s="21" t="n">
        <v>94.5</v>
      </c>
      <c r="J35" s="22" t="n">
        <f aca="false">F35*G35</f>
        <v>7032.375</v>
      </c>
      <c r="K35" s="22" t="n">
        <f aca="false">F35*H35</f>
        <v>13395</v>
      </c>
      <c r="L35" s="22" t="n">
        <f aca="false">F35*I35</f>
        <v>21097.125</v>
      </c>
      <c r="M35" s="5" t="s">
        <v>376</v>
      </c>
    </row>
    <row r="36" customFormat="false" ht="15" hidden="false" customHeight="false" outlineLevel="0" collapsed="false">
      <c r="A36" s="5" t="s">
        <v>377</v>
      </c>
      <c r="B36" s="5" t="s">
        <v>265</v>
      </c>
      <c r="C36" s="5" t="s">
        <v>186</v>
      </c>
      <c r="D36" s="5" t="s">
        <v>266</v>
      </c>
      <c r="E36" s="5" t="s">
        <v>188</v>
      </c>
      <c r="F36" s="21" t="n">
        <v>12.33</v>
      </c>
      <c r="G36" s="21" t="n">
        <v>504</v>
      </c>
      <c r="H36" s="21" t="n">
        <v>960</v>
      </c>
      <c r="I36" s="21" t="n">
        <v>1512</v>
      </c>
      <c r="J36" s="22" t="n">
        <f aca="false">F36*G36</f>
        <v>6214.32</v>
      </c>
      <c r="K36" s="22" t="n">
        <f aca="false">F36*H36</f>
        <v>11836.8</v>
      </c>
      <c r="L36" s="22" t="n">
        <f aca="false">F36*I36</f>
        <v>18642.96</v>
      </c>
      <c r="M36" s="5" t="s">
        <v>378</v>
      </c>
    </row>
    <row r="37" customFormat="false" ht="15" hidden="false" customHeight="false" outlineLevel="0" collapsed="false">
      <c r="A37" s="5" t="s">
        <v>377</v>
      </c>
      <c r="B37" s="5" t="s">
        <v>379</v>
      </c>
      <c r="C37" s="5" t="s">
        <v>186</v>
      </c>
      <c r="D37" s="5" t="s">
        <v>380</v>
      </c>
      <c r="E37" s="5" t="s">
        <v>188</v>
      </c>
      <c r="F37" s="21" t="n">
        <v>23.22</v>
      </c>
      <c r="G37" s="21" t="n">
        <v>126</v>
      </c>
      <c r="H37" s="21" t="n">
        <v>240</v>
      </c>
      <c r="I37" s="21" t="n">
        <v>378</v>
      </c>
      <c r="J37" s="22" t="n">
        <f aca="false">F37*G37</f>
        <v>2925.72</v>
      </c>
      <c r="K37" s="22" t="n">
        <f aca="false">F37*H37</f>
        <v>5572.8</v>
      </c>
      <c r="L37" s="22" t="n">
        <f aca="false">F37*I37</f>
        <v>8777.16</v>
      </c>
      <c r="M37" s="5" t="s">
        <v>381</v>
      </c>
    </row>
    <row r="38" customFormat="false" ht="15" hidden="false" customHeight="false" outlineLevel="0" collapsed="false">
      <c r="A38" s="5" t="s">
        <v>382</v>
      </c>
      <c r="B38" s="5" t="s">
        <v>280</v>
      </c>
      <c r="C38" s="5" t="s">
        <v>186</v>
      </c>
      <c r="D38" s="5" t="s">
        <v>281</v>
      </c>
      <c r="E38" s="5" t="s">
        <v>277</v>
      </c>
      <c r="F38" s="21" t="n">
        <v>53.69</v>
      </c>
      <c r="G38" s="21" t="n">
        <v>35</v>
      </c>
      <c r="H38" s="21" t="n">
        <v>66.67</v>
      </c>
      <c r="I38" s="21" t="n">
        <v>105</v>
      </c>
      <c r="J38" s="22" t="n">
        <f aca="false">F38*G38</f>
        <v>1879.15</v>
      </c>
      <c r="K38" s="22" t="n">
        <f aca="false">F38*H38</f>
        <v>3579.5123</v>
      </c>
      <c r="L38" s="22" t="n">
        <f aca="false">F38*I38</f>
        <v>5637.45</v>
      </c>
      <c r="M38" s="5" t="s">
        <v>383</v>
      </c>
    </row>
    <row r="39" customFormat="false" ht="15" hidden="false" customHeight="false" outlineLevel="0" collapsed="false">
      <c r="A39" s="5" t="s">
        <v>382</v>
      </c>
      <c r="B39" s="5" t="s">
        <v>283</v>
      </c>
      <c r="C39" s="5" t="s">
        <v>186</v>
      </c>
      <c r="D39" s="5" t="s">
        <v>284</v>
      </c>
      <c r="E39" s="5" t="s">
        <v>277</v>
      </c>
      <c r="F39" s="21" t="n">
        <v>30.86</v>
      </c>
      <c r="G39" s="21" t="n">
        <v>26.25</v>
      </c>
      <c r="H39" s="21" t="n">
        <v>50</v>
      </c>
      <c r="I39" s="21" t="n">
        <v>78.75</v>
      </c>
      <c r="J39" s="22" t="n">
        <f aca="false">F39*G39</f>
        <v>810.075</v>
      </c>
      <c r="K39" s="22" t="n">
        <f aca="false">F39*H39</f>
        <v>1543</v>
      </c>
      <c r="L39" s="22" t="n">
        <f aca="false">F39*I39</f>
        <v>2430.225</v>
      </c>
      <c r="M39" s="5" t="s">
        <v>384</v>
      </c>
    </row>
    <row r="40" customFormat="false" ht="15" hidden="false" customHeight="false" outlineLevel="0" collapsed="false">
      <c r="A40" s="5" t="s">
        <v>382</v>
      </c>
      <c r="B40" s="5" t="s">
        <v>286</v>
      </c>
      <c r="C40" s="5" t="s">
        <v>186</v>
      </c>
      <c r="D40" s="5" t="s">
        <v>287</v>
      </c>
      <c r="E40" s="5" t="s">
        <v>194</v>
      </c>
      <c r="F40" s="21" t="n">
        <v>5.48</v>
      </c>
      <c r="G40" s="21" t="n">
        <v>2520</v>
      </c>
      <c r="H40" s="21" t="n">
        <v>4800</v>
      </c>
      <c r="I40" s="21" t="n">
        <v>7560</v>
      </c>
      <c r="J40" s="22" t="n">
        <f aca="false">F40*G40</f>
        <v>13809.6</v>
      </c>
      <c r="K40" s="22" t="n">
        <f aca="false">F40*H40</f>
        <v>26304</v>
      </c>
      <c r="L40" s="22" t="n">
        <f aca="false">F40*I40</f>
        <v>41428.8</v>
      </c>
      <c r="M40" s="5" t="s">
        <v>385</v>
      </c>
    </row>
    <row r="41" customFormat="false" ht="15" hidden="false" customHeight="false" outlineLevel="0" collapsed="false">
      <c r="A41" s="5" t="s">
        <v>382</v>
      </c>
      <c r="B41" s="5" t="s">
        <v>289</v>
      </c>
      <c r="C41" s="5" t="s">
        <v>186</v>
      </c>
      <c r="D41" s="5" t="s">
        <v>290</v>
      </c>
      <c r="E41" s="5" t="s">
        <v>194</v>
      </c>
      <c r="F41" s="21" t="n">
        <v>11.2</v>
      </c>
      <c r="G41" s="21" t="n">
        <v>840</v>
      </c>
      <c r="H41" s="21" t="n">
        <v>1600</v>
      </c>
      <c r="I41" s="21" t="n">
        <v>2520</v>
      </c>
      <c r="J41" s="22" t="n">
        <f aca="false">F41*G41</f>
        <v>9408</v>
      </c>
      <c r="K41" s="22" t="n">
        <f aca="false">F41*H41</f>
        <v>17920</v>
      </c>
      <c r="L41" s="22" t="n">
        <f aca="false">F41*I41</f>
        <v>28224</v>
      </c>
      <c r="M41" s="5" t="s">
        <v>386</v>
      </c>
    </row>
    <row r="42" customFormat="false" ht="15" hidden="false" customHeight="false" outlineLevel="0" collapsed="false">
      <c r="A42" s="5" t="s">
        <v>387</v>
      </c>
      <c r="B42" s="5" t="s">
        <v>301</v>
      </c>
      <c r="C42" s="5" t="s">
        <v>186</v>
      </c>
      <c r="D42" s="5" t="s">
        <v>302</v>
      </c>
      <c r="E42" s="5" t="s">
        <v>194</v>
      </c>
      <c r="F42" s="21" t="n">
        <v>43.26</v>
      </c>
      <c r="G42" s="21" t="n">
        <v>63</v>
      </c>
      <c r="H42" s="21" t="n">
        <v>120</v>
      </c>
      <c r="I42" s="21" t="n">
        <v>189</v>
      </c>
      <c r="J42" s="22" t="n">
        <f aca="false">F42*G42</f>
        <v>2725.38</v>
      </c>
      <c r="K42" s="22" t="n">
        <f aca="false">F42*H42</f>
        <v>5191.2</v>
      </c>
      <c r="L42" s="22" t="n">
        <f aca="false">F42*I42</f>
        <v>8176.14</v>
      </c>
      <c r="M42" s="5" t="s">
        <v>388</v>
      </c>
    </row>
    <row r="43" customFormat="false" ht="15" hidden="false" customHeight="false" outlineLevel="0" collapsed="false">
      <c r="A43" s="5" t="s">
        <v>382</v>
      </c>
      <c r="B43" s="5" t="s">
        <v>292</v>
      </c>
      <c r="C43" s="5" t="s">
        <v>186</v>
      </c>
      <c r="D43" s="5" t="s">
        <v>293</v>
      </c>
      <c r="E43" s="5" t="s">
        <v>277</v>
      </c>
      <c r="F43" s="21" t="n">
        <v>623.29</v>
      </c>
      <c r="G43" s="21" t="n">
        <v>1.4</v>
      </c>
      <c r="H43" s="21" t="n">
        <v>2.67</v>
      </c>
      <c r="I43" s="21" t="n">
        <v>4.2</v>
      </c>
      <c r="J43" s="22" t="n">
        <f aca="false">F43*G43</f>
        <v>872.606</v>
      </c>
      <c r="K43" s="22" t="n">
        <f aca="false">F43*H43</f>
        <v>1664.1843</v>
      </c>
      <c r="L43" s="22" t="n">
        <f aca="false">F43*I43</f>
        <v>2617.818</v>
      </c>
      <c r="M43" s="5" t="s">
        <v>389</v>
      </c>
    </row>
    <row r="44" customFormat="false" ht="15" hidden="false" customHeight="false" outlineLevel="0" collapsed="false">
      <c r="A44" s="5" t="s">
        <v>387</v>
      </c>
      <c r="B44" s="5" t="s">
        <v>295</v>
      </c>
      <c r="C44" s="5" t="s">
        <v>186</v>
      </c>
      <c r="D44" s="5" t="s">
        <v>296</v>
      </c>
      <c r="E44" s="5" t="s">
        <v>277</v>
      </c>
      <c r="F44" s="21" t="n">
        <v>630.3</v>
      </c>
      <c r="G44" s="21" t="n">
        <v>5.25</v>
      </c>
      <c r="H44" s="21" t="n">
        <v>10</v>
      </c>
      <c r="I44" s="21" t="n">
        <v>15.75</v>
      </c>
      <c r="J44" s="22" t="n">
        <f aca="false">F44*G44</f>
        <v>3309.075</v>
      </c>
      <c r="K44" s="22" t="n">
        <f aca="false">F44*H44</f>
        <v>6303</v>
      </c>
      <c r="L44" s="22" t="n">
        <f aca="false">F44*I44</f>
        <v>9927.225</v>
      </c>
      <c r="M44" s="5" t="s">
        <v>390</v>
      </c>
    </row>
    <row r="45" customFormat="false" ht="15" hidden="false" customHeight="false" outlineLevel="0" collapsed="false">
      <c r="A45" s="5" t="s">
        <v>387</v>
      </c>
      <c r="B45" s="5" t="s">
        <v>298</v>
      </c>
      <c r="C45" s="5" t="s">
        <v>186</v>
      </c>
      <c r="D45" s="5" t="s">
        <v>299</v>
      </c>
      <c r="E45" s="5" t="s">
        <v>277</v>
      </c>
      <c r="F45" s="21" t="n">
        <v>368.02</v>
      </c>
      <c r="G45" s="21" t="n">
        <v>5.25</v>
      </c>
      <c r="H45" s="21" t="n">
        <v>10</v>
      </c>
      <c r="I45" s="21" t="n">
        <v>15.75</v>
      </c>
      <c r="J45" s="22" t="n">
        <f aca="false">F45*G45</f>
        <v>1932.105</v>
      </c>
      <c r="K45" s="22" t="n">
        <f aca="false">F45*H45</f>
        <v>3680.2</v>
      </c>
      <c r="L45" s="22" t="n">
        <f aca="false">F45*I45</f>
        <v>5796.315</v>
      </c>
      <c r="M45" s="5" t="s">
        <v>391</v>
      </c>
    </row>
    <row r="46" customFormat="false" ht="15" hidden="false" customHeight="false" outlineLevel="0" collapsed="false">
      <c r="A46" s="5" t="s">
        <v>387</v>
      </c>
      <c r="B46" s="5" t="s">
        <v>392</v>
      </c>
      <c r="C46" s="5" t="s">
        <v>186</v>
      </c>
      <c r="D46" s="5" t="s">
        <v>393</v>
      </c>
      <c r="E46" s="5" t="s">
        <v>277</v>
      </c>
      <c r="F46" s="21" t="n">
        <v>852.26</v>
      </c>
      <c r="G46" s="21" t="n">
        <v>1.4</v>
      </c>
      <c r="H46" s="21" t="n">
        <v>2.67</v>
      </c>
      <c r="I46" s="21" t="n">
        <v>4.2</v>
      </c>
      <c r="J46" s="22" t="n">
        <f aca="false">F46*G46</f>
        <v>1193.164</v>
      </c>
      <c r="K46" s="22" t="n">
        <f aca="false">F46*H46</f>
        <v>2275.5342</v>
      </c>
      <c r="L46" s="22" t="n">
        <f aca="false">F46*I46</f>
        <v>3579.492</v>
      </c>
      <c r="M46" s="5" t="s">
        <v>394</v>
      </c>
    </row>
    <row r="47" customFormat="false" ht="15" hidden="false" customHeight="false" outlineLevel="0" collapsed="false">
      <c r="A47" s="5" t="s">
        <v>387</v>
      </c>
      <c r="B47" s="5" t="s">
        <v>395</v>
      </c>
      <c r="C47" s="5" t="s">
        <v>186</v>
      </c>
      <c r="D47" s="5" t="s">
        <v>396</v>
      </c>
      <c r="E47" s="5" t="s">
        <v>277</v>
      </c>
      <c r="F47" s="21" t="n">
        <v>333.31</v>
      </c>
      <c r="G47" s="21" t="n">
        <v>1</v>
      </c>
      <c r="H47" s="21" t="n">
        <v>1.33</v>
      </c>
      <c r="I47" s="21" t="n">
        <v>2.1</v>
      </c>
      <c r="J47" s="22" t="n">
        <f aca="false">F47*G47</f>
        <v>333.31</v>
      </c>
      <c r="K47" s="22" t="n">
        <f aca="false">F47*H47</f>
        <v>443.3023</v>
      </c>
      <c r="L47" s="22" t="n">
        <f aca="false">F47*I47</f>
        <v>699.951</v>
      </c>
      <c r="M47" s="5" t="s">
        <v>397</v>
      </c>
    </row>
    <row r="48" customFormat="false" ht="15" hidden="false" customHeight="false" outlineLevel="0" collapsed="false">
      <c r="A48" s="5" t="s">
        <v>398</v>
      </c>
      <c r="B48" s="5" t="s">
        <v>305</v>
      </c>
      <c r="C48" s="5" t="s">
        <v>186</v>
      </c>
      <c r="D48" s="5" t="s">
        <v>306</v>
      </c>
      <c r="E48" s="5" t="s">
        <v>277</v>
      </c>
      <c r="F48" s="21" t="n">
        <v>288.1</v>
      </c>
      <c r="G48" s="21" t="n">
        <v>1.4</v>
      </c>
      <c r="H48" s="21" t="n">
        <v>2.67</v>
      </c>
      <c r="I48" s="21" t="n">
        <v>4.2</v>
      </c>
      <c r="J48" s="22" t="n">
        <f aca="false">F48*G48</f>
        <v>403.34</v>
      </c>
      <c r="K48" s="22" t="n">
        <f aca="false">F48*H48</f>
        <v>769.227</v>
      </c>
      <c r="L48" s="22" t="n">
        <f aca="false">F48*I48</f>
        <v>1210.02</v>
      </c>
      <c r="M48" s="5" t="s">
        <v>399</v>
      </c>
    </row>
    <row r="49" customFormat="false" ht="15" hidden="false" customHeight="false" outlineLevel="0" collapsed="false">
      <c r="A49" s="5" t="s">
        <v>398</v>
      </c>
      <c r="B49" s="5" t="s">
        <v>308</v>
      </c>
      <c r="C49" s="5" t="s">
        <v>186</v>
      </c>
      <c r="D49" s="5" t="s">
        <v>309</v>
      </c>
      <c r="E49" s="5" t="s">
        <v>277</v>
      </c>
      <c r="F49" s="21" t="n">
        <v>17.96</v>
      </c>
      <c r="G49" s="21" t="n">
        <v>4.2</v>
      </c>
      <c r="H49" s="21" t="n">
        <v>8</v>
      </c>
      <c r="I49" s="21" t="n">
        <v>12.6</v>
      </c>
      <c r="J49" s="22" t="n">
        <f aca="false">F49*G49</f>
        <v>75.432</v>
      </c>
      <c r="K49" s="22" t="n">
        <f aca="false">F49*H49</f>
        <v>143.68</v>
      </c>
      <c r="L49" s="22" t="n">
        <f aca="false">F49*I49</f>
        <v>226.296</v>
      </c>
      <c r="M49" s="5" t="s">
        <v>400</v>
      </c>
    </row>
    <row r="50" customFormat="false" ht="15" hidden="false" customHeight="false" outlineLevel="0" collapsed="false">
      <c r="A50" s="5" t="s">
        <v>398</v>
      </c>
      <c r="B50" s="5" t="s">
        <v>311</v>
      </c>
      <c r="C50" s="5" t="s">
        <v>192</v>
      </c>
      <c r="D50" s="5" t="s">
        <v>312</v>
      </c>
      <c r="E50" s="5" t="s">
        <v>277</v>
      </c>
      <c r="F50" s="21" t="n">
        <v>20.47</v>
      </c>
      <c r="G50" s="21" t="n">
        <v>4.2</v>
      </c>
      <c r="H50" s="21" t="n">
        <v>8</v>
      </c>
      <c r="I50" s="21" t="n">
        <v>12.6</v>
      </c>
      <c r="J50" s="22" t="n">
        <f aca="false">F50*G50</f>
        <v>85.974</v>
      </c>
      <c r="K50" s="22" t="n">
        <f aca="false">F50*H50</f>
        <v>163.76</v>
      </c>
      <c r="L50" s="22" t="n">
        <f aca="false">F50*I50</f>
        <v>257.922</v>
      </c>
      <c r="M50" s="5" t="s">
        <v>401</v>
      </c>
    </row>
    <row r="51" customFormat="false" ht="15" hidden="false" customHeight="false" outlineLevel="0" collapsed="false">
      <c r="I51" s="7" t="s">
        <v>323</v>
      </c>
      <c r="J51" s="23" t="n">
        <f aca="false">SUM(J17:J50)</f>
        <v>305423.375</v>
      </c>
      <c r="K51" s="23" t="n">
        <f aca="false">SUM(K17:K50)</f>
        <v>581577.224</v>
      </c>
      <c r="L51" s="23" t="n">
        <f aca="false">SUM(L17:L50)</f>
        <v>915970.146</v>
      </c>
    </row>
    <row r="52" customFormat="false" ht="15" hidden="false" customHeight="false" outlineLevel="0" collapsed="false">
      <c r="I52" s="7" t="s">
        <v>324</v>
      </c>
      <c r="J52" s="24" t="n">
        <f aca="false">PARAMETROS!$B$6</f>
        <v>0.2034</v>
      </c>
      <c r="K52" s="24" t="n">
        <f aca="false">PARAMETROS!$C$6</f>
        <v>0.2212</v>
      </c>
      <c r="L52" s="24" t="n">
        <f aca="false">PARAMETROS!$D$6</f>
        <v>0.25</v>
      </c>
    </row>
    <row r="53" customFormat="false" ht="15" hidden="false" customHeight="false" outlineLevel="0" collapsed="false">
      <c r="I53" s="7" t="s">
        <v>325</v>
      </c>
      <c r="J53" s="24" t="n">
        <f aca="false">PARAMETROS!$B$8</f>
        <v>0.05</v>
      </c>
      <c r="K53" s="24" t="n">
        <f aca="false">PARAMETROS!$C$8</f>
        <v>0.1</v>
      </c>
      <c r="L53" s="24" t="n">
        <f aca="false">PARAMETROS!$D$8</f>
        <v>0.15</v>
      </c>
    </row>
    <row r="54" customFormat="false" ht="15" hidden="false" customHeight="false" outlineLevel="0" collapsed="false">
      <c r="I54" s="7" t="s">
        <v>155</v>
      </c>
      <c r="J54" s="25" t="n">
        <f aca="false">PARAMETROS!$B$9</f>
        <v>1</v>
      </c>
      <c r="K54" s="25" t="n">
        <f aca="false">PARAMETROS!$C$9</f>
        <v>1</v>
      </c>
      <c r="L54" s="25" t="n">
        <f aca="false">PARAMETROS!$D$9</f>
        <v>1.1</v>
      </c>
    </row>
    <row r="55" customFormat="false" ht="15" hidden="false" customHeight="false" outlineLevel="0" collapsed="false">
      <c r="I55" s="7" t="s">
        <v>326</v>
      </c>
      <c r="J55" s="8" t="n">
        <f aca="false">J51*(1+J52)*(1+J53)*J54</f>
        <v>385923.81394875</v>
      </c>
      <c r="K55" s="8" t="n">
        <f aca="false">K51*(1+K52)*(1+K53)*K54</f>
        <v>781244.31654368</v>
      </c>
      <c r="L55" s="8" t="n">
        <f aca="false">L51*(1+L52)*(1+L53)*L54</f>
        <v>1448377.7933625</v>
      </c>
    </row>
    <row r="57" customFormat="false" ht="15" hidden="false" customHeight="false" outlineLevel="0" collapsed="false">
      <c r="A57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5" topLeftCell="E16" activePane="bottomRight" state="frozen"/>
      <selection pane="topLeft" activeCell="A1" activeCellId="0" sqref="A1"/>
      <selection pane="topRight" activeCell="E1" activeCellId="0" sqref="E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814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106</v>
      </c>
    </row>
    <row r="5" customFormat="false" ht="15" hidden="false" customHeight="false" outlineLevel="0" collapsed="false">
      <c r="A5" s="7" t="s">
        <v>7</v>
      </c>
      <c r="B5" s="10" t="s">
        <v>17</v>
      </c>
    </row>
    <row r="6" customFormat="false" ht="15" hidden="false" customHeight="false" outlineLevel="0" collapsed="false">
      <c r="A6" s="7" t="s">
        <v>6</v>
      </c>
      <c r="B6" s="10" t="s">
        <v>18</v>
      </c>
    </row>
    <row r="7" customFormat="false" ht="15" hidden="false" customHeight="false" outlineLevel="0" collapsed="false">
      <c r="A7" s="7" t="s">
        <v>8</v>
      </c>
      <c r="B7" s="10" t="s">
        <v>41</v>
      </c>
    </row>
    <row r="8" customFormat="false" ht="15" hidden="false" customHeight="false" outlineLevel="0" collapsed="false">
      <c r="A8" s="7" t="s">
        <v>160</v>
      </c>
      <c r="B8" s="10" t="s">
        <v>815</v>
      </c>
    </row>
    <row r="9" customFormat="false" ht="15" hidden="false" customHeight="false" outlineLevel="0" collapsed="false">
      <c r="A9" s="7" t="s">
        <v>9</v>
      </c>
      <c r="B9" s="10" t="s">
        <v>108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816</v>
      </c>
    </row>
    <row r="13" customFormat="false" ht="15" hidden="false" customHeight="false" outlineLevel="0" collapsed="false">
      <c r="B13" s="20" t="s">
        <v>501</v>
      </c>
    </row>
    <row r="15" customFormat="false" ht="23.85" hidden="false" customHeight="false" outlineLevel="0" collapsed="false">
      <c r="A15" s="4" t="s">
        <v>171</v>
      </c>
      <c r="B15" s="4" t="s">
        <v>172</v>
      </c>
      <c r="C15" s="4" t="s">
        <v>173</v>
      </c>
      <c r="D15" s="4" t="s">
        <v>174</v>
      </c>
      <c r="E15" s="4" t="s">
        <v>175</v>
      </c>
      <c r="F15" s="4" t="s">
        <v>176</v>
      </c>
      <c r="G15" s="4" t="s">
        <v>177</v>
      </c>
      <c r="H15" s="4" t="s">
        <v>178</v>
      </c>
      <c r="I15" s="4" t="s">
        <v>179</v>
      </c>
      <c r="J15" s="4" t="s">
        <v>180</v>
      </c>
      <c r="K15" s="4" t="s">
        <v>181</v>
      </c>
      <c r="L15" s="4" t="s">
        <v>182</v>
      </c>
      <c r="M15" s="4" t="s">
        <v>183</v>
      </c>
    </row>
    <row r="16" customFormat="false" ht="15" hidden="false" customHeight="false" outlineLevel="0" collapsed="false">
      <c r="A16" s="5" t="s">
        <v>333</v>
      </c>
      <c r="B16" s="5" t="s">
        <v>216</v>
      </c>
      <c r="C16" s="5" t="s">
        <v>186</v>
      </c>
      <c r="D16" s="5" t="s">
        <v>217</v>
      </c>
      <c r="E16" s="5" t="s">
        <v>188</v>
      </c>
      <c r="F16" s="21" t="n">
        <v>454.97</v>
      </c>
      <c r="G16" s="21" t="n">
        <v>6</v>
      </c>
      <c r="H16" s="21" t="n">
        <v>6</v>
      </c>
      <c r="I16" s="21" t="n">
        <v>6</v>
      </c>
      <c r="J16" s="22" t="n">
        <f aca="false">F16*G16</f>
        <v>2729.82</v>
      </c>
      <c r="K16" s="22" t="n">
        <f aca="false">F16*H16</f>
        <v>2729.82</v>
      </c>
      <c r="L16" s="22" t="n">
        <f aca="false">F16*I16</f>
        <v>2729.82</v>
      </c>
      <c r="M16" s="5" t="s">
        <v>218</v>
      </c>
    </row>
    <row r="17" customFormat="false" ht="15" hidden="false" customHeight="false" outlineLevel="0" collapsed="false">
      <c r="A17" s="5" t="s">
        <v>817</v>
      </c>
      <c r="B17" s="5" t="s">
        <v>511</v>
      </c>
      <c r="C17" s="5" t="s">
        <v>186</v>
      </c>
      <c r="D17" s="5" t="s">
        <v>512</v>
      </c>
      <c r="E17" s="5" t="s">
        <v>188</v>
      </c>
      <c r="F17" s="21" t="n">
        <v>3.35</v>
      </c>
      <c r="G17" s="21" t="n">
        <v>3150</v>
      </c>
      <c r="H17" s="21" t="n">
        <v>0</v>
      </c>
      <c r="I17" s="21" t="n">
        <v>0</v>
      </c>
      <c r="J17" s="22" t="n">
        <f aca="false">F17*G17</f>
        <v>10552.5</v>
      </c>
      <c r="K17" s="22" t="n">
        <f aca="false">F17*H17</f>
        <v>0</v>
      </c>
      <c r="L17" s="22" t="n">
        <f aca="false">F17*I17</f>
        <v>0</v>
      </c>
      <c r="M17" s="5" t="s">
        <v>818</v>
      </c>
    </row>
    <row r="18" customFormat="false" ht="15" hidden="false" customHeight="false" outlineLevel="0" collapsed="false">
      <c r="A18" s="5" t="s">
        <v>817</v>
      </c>
      <c r="B18" s="5" t="s">
        <v>819</v>
      </c>
      <c r="C18" s="5" t="s">
        <v>186</v>
      </c>
      <c r="D18" s="5" t="s">
        <v>820</v>
      </c>
      <c r="E18" s="5" t="s">
        <v>194</v>
      </c>
      <c r="F18" s="21" t="n">
        <v>22.2</v>
      </c>
      <c r="G18" s="21" t="n">
        <v>630</v>
      </c>
      <c r="H18" s="21" t="n">
        <v>1080</v>
      </c>
      <c r="I18" s="21" t="n">
        <v>1280</v>
      </c>
      <c r="J18" s="22" t="n">
        <f aca="false">F18*G18</f>
        <v>13986</v>
      </c>
      <c r="K18" s="22" t="n">
        <f aca="false">F18*H18</f>
        <v>23976</v>
      </c>
      <c r="L18" s="22" t="n">
        <f aca="false">F18*I18</f>
        <v>28416</v>
      </c>
      <c r="M18" s="5" t="s">
        <v>821</v>
      </c>
    </row>
    <row r="19" customFormat="false" ht="15" hidden="false" customHeight="false" outlineLevel="0" collapsed="false">
      <c r="A19" s="5" t="s">
        <v>817</v>
      </c>
      <c r="B19" s="5" t="s">
        <v>630</v>
      </c>
      <c r="C19" s="5" t="s">
        <v>186</v>
      </c>
      <c r="D19" s="5" t="s">
        <v>631</v>
      </c>
      <c r="E19" s="5" t="s">
        <v>188</v>
      </c>
      <c r="F19" s="21" t="n">
        <v>15.04</v>
      </c>
      <c r="G19" s="21" t="n">
        <v>3150</v>
      </c>
      <c r="H19" s="21" t="n">
        <v>5400</v>
      </c>
      <c r="I19" s="21" t="n">
        <v>6400</v>
      </c>
      <c r="J19" s="22" t="n">
        <f aca="false">F19*G19</f>
        <v>47376</v>
      </c>
      <c r="K19" s="22" t="n">
        <f aca="false">F19*H19</f>
        <v>81216</v>
      </c>
      <c r="L19" s="22" t="n">
        <f aca="false">F19*I19</f>
        <v>96256</v>
      </c>
      <c r="M19" s="5" t="s">
        <v>822</v>
      </c>
    </row>
    <row r="20" customFormat="false" ht="15" hidden="false" customHeight="false" outlineLevel="0" collapsed="false">
      <c r="A20" s="5" t="s">
        <v>823</v>
      </c>
      <c r="B20" s="5" t="s">
        <v>824</v>
      </c>
      <c r="C20" s="5" t="s">
        <v>186</v>
      </c>
      <c r="D20" s="5" t="s">
        <v>825</v>
      </c>
      <c r="E20" s="5" t="s">
        <v>194</v>
      </c>
      <c r="F20" s="21" t="n">
        <v>172.74</v>
      </c>
      <c r="G20" s="21" t="n">
        <v>250</v>
      </c>
      <c r="H20" s="21" t="n">
        <v>320</v>
      </c>
      <c r="I20" s="21" t="n">
        <v>348</v>
      </c>
      <c r="J20" s="22" t="n">
        <f aca="false">F20*G20</f>
        <v>43185</v>
      </c>
      <c r="K20" s="22" t="n">
        <f aca="false">F20*H20</f>
        <v>55276.8</v>
      </c>
      <c r="L20" s="22" t="n">
        <f aca="false">F20*I20</f>
        <v>60113.52</v>
      </c>
      <c r="M20" s="5" t="s">
        <v>826</v>
      </c>
    </row>
    <row r="21" customFormat="false" ht="15" hidden="false" customHeight="false" outlineLevel="0" collapsed="false">
      <c r="A21" s="5" t="s">
        <v>823</v>
      </c>
      <c r="B21" s="5" t="s">
        <v>367</v>
      </c>
      <c r="C21" s="5" t="s">
        <v>186</v>
      </c>
      <c r="D21" s="5" t="s">
        <v>368</v>
      </c>
      <c r="E21" s="5" t="s">
        <v>188</v>
      </c>
      <c r="F21" s="21" t="n">
        <v>91.17</v>
      </c>
      <c r="G21" s="21" t="n">
        <v>150</v>
      </c>
      <c r="H21" s="21" t="n">
        <v>200</v>
      </c>
      <c r="I21" s="21" t="n">
        <v>300</v>
      </c>
      <c r="J21" s="22" t="n">
        <f aca="false">F21*G21</f>
        <v>13675.5</v>
      </c>
      <c r="K21" s="22" t="n">
        <f aca="false">F21*H21</f>
        <v>18234</v>
      </c>
      <c r="L21" s="22" t="n">
        <f aca="false">F21*I21</f>
        <v>27351</v>
      </c>
      <c r="M21" s="5" t="s">
        <v>827</v>
      </c>
    </row>
    <row r="22" customFormat="false" ht="15" hidden="false" customHeight="false" outlineLevel="0" collapsed="false">
      <c r="A22" s="5" t="s">
        <v>823</v>
      </c>
      <c r="B22" s="5" t="s">
        <v>537</v>
      </c>
      <c r="C22" s="5" t="s">
        <v>192</v>
      </c>
      <c r="D22" s="5" t="s">
        <v>538</v>
      </c>
      <c r="E22" s="5" t="s">
        <v>277</v>
      </c>
      <c r="F22" s="21" t="n">
        <v>23.46</v>
      </c>
      <c r="G22" s="21" t="n">
        <v>20</v>
      </c>
      <c r="H22" s="21" t="n">
        <v>20</v>
      </c>
      <c r="I22" s="21" t="n">
        <v>20</v>
      </c>
      <c r="J22" s="22" t="n">
        <f aca="false">F22*G22</f>
        <v>469.2</v>
      </c>
      <c r="K22" s="22" t="n">
        <f aca="false">F22*H22</f>
        <v>469.2</v>
      </c>
      <c r="L22" s="22" t="n">
        <f aca="false">F22*I22</f>
        <v>469.2</v>
      </c>
      <c r="M22" s="5" t="s">
        <v>539</v>
      </c>
    </row>
    <row r="23" customFormat="false" ht="15" hidden="false" customHeight="false" outlineLevel="0" collapsed="false">
      <c r="A23" s="5" t="s">
        <v>541</v>
      </c>
      <c r="B23" s="5" t="s">
        <v>334</v>
      </c>
      <c r="C23" s="5" t="s">
        <v>186</v>
      </c>
      <c r="D23" s="5" t="s">
        <v>335</v>
      </c>
      <c r="E23" s="5" t="s">
        <v>194</v>
      </c>
      <c r="F23" s="21" t="n">
        <v>75.94</v>
      </c>
      <c r="G23" s="21" t="n">
        <v>15</v>
      </c>
      <c r="H23" s="21" t="n">
        <v>20</v>
      </c>
      <c r="I23" s="21" t="n">
        <v>30</v>
      </c>
      <c r="J23" s="22" t="n">
        <f aca="false">F23*G23</f>
        <v>1139.1</v>
      </c>
      <c r="K23" s="22" t="n">
        <f aca="false">F23*H23</f>
        <v>1518.8</v>
      </c>
      <c r="L23" s="22" t="n">
        <f aca="false">F23*I23</f>
        <v>2278.2</v>
      </c>
      <c r="M23" s="5" t="s">
        <v>336</v>
      </c>
    </row>
    <row r="24" customFormat="false" ht="15" hidden="false" customHeight="false" outlineLevel="0" collapsed="false">
      <c r="A24" s="5" t="s">
        <v>542</v>
      </c>
      <c r="B24" s="5" t="s">
        <v>338</v>
      </c>
      <c r="C24" s="5" t="s">
        <v>186</v>
      </c>
      <c r="D24" s="5" t="s">
        <v>339</v>
      </c>
      <c r="E24" s="5" t="s">
        <v>317</v>
      </c>
      <c r="F24" s="21" t="n">
        <v>103.4</v>
      </c>
      <c r="G24" s="21" t="n">
        <v>4.8</v>
      </c>
      <c r="H24" s="21" t="n">
        <v>6.4</v>
      </c>
      <c r="I24" s="21" t="n">
        <v>9.6</v>
      </c>
      <c r="J24" s="22" t="n">
        <f aca="false">F24*G24</f>
        <v>496.32</v>
      </c>
      <c r="K24" s="22" t="n">
        <f aca="false">F24*H24</f>
        <v>661.76</v>
      </c>
      <c r="L24" s="22" t="n">
        <f aca="false">F24*I24</f>
        <v>992.64</v>
      </c>
      <c r="M24" s="5" t="s">
        <v>340</v>
      </c>
    </row>
    <row r="25" customFormat="false" ht="15" hidden="false" customHeight="false" outlineLevel="0" collapsed="false">
      <c r="A25" s="5" t="s">
        <v>542</v>
      </c>
      <c r="B25" s="5" t="s">
        <v>341</v>
      </c>
      <c r="C25" s="5" t="s">
        <v>186</v>
      </c>
      <c r="D25" s="5" t="s">
        <v>342</v>
      </c>
      <c r="E25" s="5" t="s">
        <v>317</v>
      </c>
      <c r="F25" s="21" t="n">
        <v>828.32</v>
      </c>
      <c r="G25" s="21" t="n">
        <v>7.2</v>
      </c>
      <c r="H25" s="21" t="n">
        <v>9.6</v>
      </c>
      <c r="I25" s="21" t="n">
        <v>14.4</v>
      </c>
      <c r="J25" s="22" t="n">
        <f aca="false">F25*G25</f>
        <v>5963.904</v>
      </c>
      <c r="K25" s="22" t="n">
        <f aca="false">F25*H25</f>
        <v>7951.872</v>
      </c>
      <c r="L25" s="22" t="n">
        <f aca="false">F25*I25</f>
        <v>11927.808</v>
      </c>
      <c r="M25" s="5" t="s">
        <v>343</v>
      </c>
    </row>
    <row r="26" customFormat="false" ht="15" hidden="false" customHeight="false" outlineLevel="0" collapsed="false">
      <c r="A26" s="5" t="s">
        <v>542</v>
      </c>
      <c r="B26" s="5" t="s">
        <v>344</v>
      </c>
      <c r="C26" s="5" t="s">
        <v>186</v>
      </c>
      <c r="D26" s="5" t="s">
        <v>345</v>
      </c>
      <c r="E26" s="5" t="s">
        <v>346</v>
      </c>
      <c r="F26" s="21" t="n">
        <v>10.41</v>
      </c>
      <c r="G26" s="21" t="n">
        <v>600</v>
      </c>
      <c r="H26" s="21" t="n">
        <v>800</v>
      </c>
      <c r="I26" s="21" t="n">
        <v>1200</v>
      </c>
      <c r="J26" s="22" t="n">
        <f aca="false">F26*G26</f>
        <v>6246</v>
      </c>
      <c r="K26" s="22" t="n">
        <f aca="false">F26*H26</f>
        <v>8328</v>
      </c>
      <c r="L26" s="22" t="n">
        <f aca="false">F26*I26</f>
        <v>12492</v>
      </c>
      <c r="M26" s="5" t="s">
        <v>347</v>
      </c>
    </row>
    <row r="27" customFormat="false" ht="15" hidden="false" customHeight="false" outlineLevel="0" collapsed="false">
      <c r="A27" s="5" t="s">
        <v>542</v>
      </c>
      <c r="B27" s="5" t="s">
        <v>348</v>
      </c>
      <c r="C27" s="5" t="s">
        <v>186</v>
      </c>
      <c r="D27" s="5" t="s">
        <v>349</v>
      </c>
      <c r="E27" s="5" t="s">
        <v>188</v>
      </c>
      <c r="F27" s="21" t="n">
        <v>122.64</v>
      </c>
      <c r="G27" s="21" t="n">
        <v>66</v>
      </c>
      <c r="H27" s="21" t="n">
        <v>88</v>
      </c>
      <c r="I27" s="21" t="n">
        <v>132</v>
      </c>
      <c r="J27" s="22" t="n">
        <f aca="false">F27*G27</f>
        <v>8094.24</v>
      </c>
      <c r="K27" s="22" t="n">
        <f aca="false">F27*H27</f>
        <v>10792.32</v>
      </c>
      <c r="L27" s="22" t="n">
        <f aca="false">F27*I27</f>
        <v>16188.48</v>
      </c>
      <c r="M27" s="5" t="s">
        <v>350</v>
      </c>
    </row>
    <row r="28" customFormat="false" ht="15" hidden="false" customHeight="false" outlineLevel="0" collapsed="false">
      <c r="A28" s="5" t="s">
        <v>543</v>
      </c>
      <c r="B28" s="5" t="s">
        <v>352</v>
      </c>
      <c r="C28" s="5" t="s">
        <v>186</v>
      </c>
      <c r="D28" s="5" t="s">
        <v>353</v>
      </c>
      <c r="E28" s="5" t="s">
        <v>188</v>
      </c>
      <c r="F28" s="21" t="n">
        <v>119.54</v>
      </c>
      <c r="G28" s="21" t="n">
        <v>90</v>
      </c>
      <c r="H28" s="21" t="n">
        <v>120</v>
      </c>
      <c r="I28" s="21" t="n">
        <v>180</v>
      </c>
      <c r="J28" s="22" t="n">
        <f aca="false">F28*G28</f>
        <v>10758.6</v>
      </c>
      <c r="K28" s="22" t="n">
        <f aca="false">F28*H28</f>
        <v>14344.8</v>
      </c>
      <c r="L28" s="22" t="n">
        <f aca="false">F28*I28</f>
        <v>21517.2</v>
      </c>
      <c r="M28" s="5" t="s">
        <v>354</v>
      </c>
    </row>
    <row r="29" customFormat="false" ht="15" hidden="false" customHeight="false" outlineLevel="0" collapsed="false">
      <c r="A29" s="5" t="s">
        <v>543</v>
      </c>
      <c r="B29" s="5" t="s">
        <v>249</v>
      </c>
      <c r="C29" s="5" t="s">
        <v>186</v>
      </c>
      <c r="D29" s="5" t="s">
        <v>250</v>
      </c>
      <c r="E29" s="5" t="s">
        <v>188</v>
      </c>
      <c r="F29" s="21" t="n">
        <v>6.03</v>
      </c>
      <c r="G29" s="21" t="n">
        <v>180</v>
      </c>
      <c r="H29" s="21" t="n">
        <v>240</v>
      </c>
      <c r="I29" s="21" t="n">
        <v>360</v>
      </c>
      <c r="J29" s="22" t="n">
        <f aca="false">F29*G29</f>
        <v>1085.4</v>
      </c>
      <c r="K29" s="22" t="n">
        <f aca="false">F29*H29</f>
        <v>1447.2</v>
      </c>
      <c r="L29" s="22" t="n">
        <f aca="false">F29*I29</f>
        <v>2170.8</v>
      </c>
      <c r="M29" s="5" t="s">
        <v>355</v>
      </c>
    </row>
    <row r="30" customFormat="false" ht="15" hidden="false" customHeight="false" outlineLevel="0" collapsed="false">
      <c r="A30" s="5" t="s">
        <v>543</v>
      </c>
      <c r="B30" s="5" t="s">
        <v>252</v>
      </c>
      <c r="C30" s="5" t="s">
        <v>186</v>
      </c>
      <c r="D30" s="5" t="s">
        <v>253</v>
      </c>
      <c r="E30" s="5" t="s">
        <v>188</v>
      </c>
      <c r="F30" s="21" t="n">
        <v>31.79</v>
      </c>
      <c r="G30" s="21" t="n">
        <v>144</v>
      </c>
      <c r="H30" s="21" t="n">
        <v>192</v>
      </c>
      <c r="I30" s="21" t="n">
        <v>288</v>
      </c>
      <c r="J30" s="22" t="n">
        <f aca="false">F30*G30</f>
        <v>4577.76</v>
      </c>
      <c r="K30" s="22" t="n">
        <f aca="false">F30*H30</f>
        <v>6103.68</v>
      </c>
      <c r="L30" s="22" t="n">
        <f aca="false">F30*I30</f>
        <v>9155.52</v>
      </c>
      <c r="M30" s="5" t="s">
        <v>356</v>
      </c>
    </row>
    <row r="31" customFormat="false" ht="15" hidden="false" customHeight="false" outlineLevel="0" collapsed="false">
      <c r="A31" s="5" t="s">
        <v>543</v>
      </c>
      <c r="B31" s="5" t="s">
        <v>357</v>
      </c>
      <c r="C31" s="5" t="s">
        <v>186</v>
      </c>
      <c r="D31" s="5" t="s">
        <v>358</v>
      </c>
      <c r="E31" s="5" t="s">
        <v>188</v>
      </c>
      <c r="F31" s="21" t="n">
        <v>83.28</v>
      </c>
      <c r="G31" s="21" t="n">
        <v>36</v>
      </c>
      <c r="H31" s="21" t="n">
        <v>48</v>
      </c>
      <c r="I31" s="21" t="n">
        <v>72</v>
      </c>
      <c r="J31" s="22" t="n">
        <f aca="false">F31*G31</f>
        <v>2998.08</v>
      </c>
      <c r="K31" s="22" t="n">
        <f aca="false">F31*H31</f>
        <v>3997.44</v>
      </c>
      <c r="L31" s="22" t="n">
        <f aca="false">F31*I31</f>
        <v>5996.16</v>
      </c>
      <c r="M31" s="5" t="s">
        <v>359</v>
      </c>
    </row>
    <row r="32" customFormat="false" ht="15" hidden="false" customHeight="false" outlineLevel="0" collapsed="false">
      <c r="A32" s="5" t="s">
        <v>543</v>
      </c>
      <c r="B32" s="5" t="s">
        <v>255</v>
      </c>
      <c r="C32" s="5" t="s">
        <v>186</v>
      </c>
      <c r="D32" s="5" t="s">
        <v>256</v>
      </c>
      <c r="E32" s="5" t="s">
        <v>188</v>
      </c>
      <c r="F32" s="21" t="n">
        <v>59.3</v>
      </c>
      <c r="G32" s="21" t="n">
        <v>18</v>
      </c>
      <c r="H32" s="21" t="n">
        <v>24</v>
      </c>
      <c r="I32" s="21" t="n">
        <v>36</v>
      </c>
      <c r="J32" s="22" t="n">
        <f aca="false">F32*G32</f>
        <v>1067.4</v>
      </c>
      <c r="K32" s="22" t="n">
        <f aca="false">F32*H32</f>
        <v>1423.2</v>
      </c>
      <c r="L32" s="22" t="n">
        <f aca="false">F32*I32</f>
        <v>2134.8</v>
      </c>
      <c r="M32" s="5" t="s">
        <v>360</v>
      </c>
    </row>
    <row r="33" customFormat="false" ht="15" hidden="false" customHeight="false" outlineLevel="0" collapsed="false">
      <c r="A33" s="5" t="s">
        <v>544</v>
      </c>
      <c r="B33" s="5" t="s">
        <v>362</v>
      </c>
      <c r="C33" s="5" t="s">
        <v>186</v>
      </c>
      <c r="D33" s="5" t="s">
        <v>363</v>
      </c>
      <c r="E33" s="5" t="s">
        <v>188</v>
      </c>
      <c r="F33" s="21" t="n">
        <v>48.41</v>
      </c>
      <c r="G33" s="21" t="n">
        <v>60</v>
      </c>
      <c r="H33" s="21" t="n">
        <v>80</v>
      </c>
      <c r="I33" s="21" t="n">
        <v>120</v>
      </c>
      <c r="J33" s="22" t="n">
        <f aca="false">F33*G33</f>
        <v>2904.6</v>
      </c>
      <c r="K33" s="22" t="n">
        <f aca="false">F33*H33</f>
        <v>3872.8</v>
      </c>
      <c r="L33" s="22" t="n">
        <f aca="false">F33*I33</f>
        <v>5809.2</v>
      </c>
      <c r="M33" s="5" t="s">
        <v>364</v>
      </c>
    </row>
    <row r="34" customFormat="false" ht="15" hidden="false" customHeight="false" outlineLevel="0" collapsed="false">
      <c r="A34" s="5" t="s">
        <v>544</v>
      </c>
      <c r="B34" s="5" t="s">
        <v>258</v>
      </c>
      <c r="C34" s="5" t="s">
        <v>186</v>
      </c>
      <c r="D34" s="5" t="s">
        <v>259</v>
      </c>
      <c r="E34" s="5" t="s">
        <v>188</v>
      </c>
      <c r="F34" s="21" t="n">
        <v>58.19</v>
      </c>
      <c r="G34" s="21" t="n">
        <v>60</v>
      </c>
      <c r="H34" s="21" t="n">
        <v>80</v>
      </c>
      <c r="I34" s="21" t="n">
        <v>120</v>
      </c>
      <c r="J34" s="22" t="n">
        <f aca="false">F34*G34</f>
        <v>3491.4</v>
      </c>
      <c r="K34" s="22" t="n">
        <f aca="false">F34*H34</f>
        <v>4655.2</v>
      </c>
      <c r="L34" s="22" t="n">
        <f aca="false">F34*I34</f>
        <v>6982.8</v>
      </c>
      <c r="M34" s="5" t="s">
        <v>365</v>
      </c>
    </row>
    <row r="35" customFormat="false" ht="15" hidden="false" customHeight="false" outlineLevel="0" collapsed="false">
      <c r="A35" s="5" t="s">
        <v>544</v>
      </c>
      <c r="B35" s="5" t="s">
        <v>261</v>
      </c>
      <c r="C35" s="5" t="s">
        <v>186</v>
      </c>
      <c r="D35" s="5" t="s">
        <v>262</v>
      </c>
      <c r="E35" s="5" t="s">
        <v>188</v>
      </c>
      <c r="F35" s="21" t="n">
        <v>50.14</v>
      </c>
      <c r="G35" s="21" t="n">
        <v>60</v>
      </c>
      <c r="H35" s="21" t="n">
        <v>80</v>
      </c>
      <c r="I35" s="21" t="n">
        <v>120</v>
      </c>
      <c r="J35" s="22" t="n">
        <f aca="false">F35*G35</f>
        <v>3008.4</v>
      </c>
      <c r="K35" s="22" t="n">
        <f aca="false">F35*H35</f>
        <v>4011.2</v>
      </c>
      <c r="L35" s="22" t="n">
        <f aca="false">F35*I35</f>
        <v>6016.8</v>
      </c>
      <c r="M35" s="5" t="s">
        <v>366</v>
      </c>
    </row>
    <row r="36" customFormat="false" ht="15" hidden="false" customHeight="false" outlineLevel="0" collapsed="false">
      <c r="A36" s="5" t="s">
        <v>544</v>
      </c>
      <c r="B36" s="5" t="s">
        <v>367</v>
      </c>
      <c r="C36" s="5" t="s">
        <v>186</v>
      </c>
      <c r="D36" s="5" t="s">
        <v>368</v>
      </c>
      <c r="E36" s="5" t="s">
        <v>188</v>
      </c>
      <c r="F36" s="21" t="n">
        <v>91.17</v>
      </c>
      <c r="G36" s="21" t="n">
        <v>9</v>
      </c>
      <c r="H36" s="21" t="n">
        <v>12</v>
      </c>
      <c r="I36" s="21" t="n">
        <v>18</v>
      </c>
      <c r="J36" s="22" t="n">
        <f aca="false">F36*G36</f>
        <v>820.53</v>
      </c>
      <c r="K36" s="22" t="n">
        <f aca="false">F36*H36</f>
        <v>1094.04</v>
      </c>
      <c r="L36" s="22" t="n">
        <f aca="false">F36*I36</f>
        <v>1641.06</v>
      </c>
      <c r="M36" s="5" t="s">
        <v>369</v>
      </c>
    </row>
    <row r="37" customFormat="false" ht="15" hidden="false" customHeight="false" outlineLevel="0" collapsed="false">
      <c r="A37" s="5" t="s">
        <v>545</v>
      </c>
      <c r="B37" s="5" t="s">
        <v>239</v>
      </c>
      <c r="C37" s="5" t="s">
        <v>186</v>
      </c>
      <c r="D37" s="5" t="s">
        <v>240</v>
      </c>
      <c r="E37" s="5" t="s">
        <v>188</v>
      </c>
      <c r="F37" s="21" t="n">
        <v>101.54</v>
      </c>
      <c r="G37" s="21" t="n">
        <v>75</v>
      </c>
      <c r="H37" s="21" t="n">
        <v>100</v>
      </c>
      <c r="I37" s="21" t="n">
        <v>150</v>
      </c>
      <c r="J37" s="22" t="n">
        <f aca="false">F37*G37</f>
        <v>7615.5</v>
      </c>
      <c r="K37" s="22" t="n">
        <f aca="false">F37*H37</f>
        <v>10154</v>
      </c>
      <c r="L37" s="22" t="n">
        <f aca="false">F37*I37</f>
        <v>15231</v>
      </c>
      <c r="M37" s="5" t="s">
        <v>371</v>
      </c>
    </row>
    <row r="38" customFormat="false" ht="15" hidden="false" customHeight="false" outlineLevel="0" collapsed="false">
      <c r="A38" s="5" t="s">
        <v>545</v>
      </c>
      <c r="B38" s="5" t="s">
        <v>242</v>
      </c>
      <c r="C38" s="5" t="s">
        <v>186</v>
      </c>
      <c r="D38" s="5" t="s">
        <v>243</v>
      </c>
      <c r="E38" s="5" t="s">
        <v>188</v>
      </c>
      <c r="F38" s="21" t="n">
        <v>42.42</v>
      </c>
      <c r="G38" s="21" t="n">
        <v>75</v>
      </c>
      <c r="H38" s="21" t="n">
        <v>100</v>
      </c>
      <c r="I38" s="21" t="n">
        <v>150</v>
      </c>
      <c r="J38" s="22" t="n">
        <f aca="false">F38*G38</f>
        <v>3181.5</v>
      </c>
      <c r="K38" s="22" t="n">
        <f aca="false">F38*H38</f>
        <v>4242</v>
      </c>
      <c r="L38" s="22" t="n">
        <f aca="false">F38*I38</f>
        <v>6363</v>
      </c>
      <c r="M38" s="5" t="s">
        <v>372</v>
      </c>
    </row>
    <row r="39" customFormat="false" ht="15" hidden="false" customHeight="false" outlineLevel="0" collapsed="false">
      <c r="A39" s="5" t="s">
        <v>545</v>
      </c>
      <c r="B39" s="5" t="s">
        <v>245</v>
      </c>
      <c r="C39" s="5" t="s">
        <v>186</v>
      </c>
      <c r="D39" s="5" t="s">
        <v>246</v>
      </c>
      <c r="E39" s="5" t="s">
        <v>188</v>
      </c>
      <c r="F39" s="21" t="n">
        <v>73.2</v>
      </c>
      <c r="G39" s="21" t="n">
        <v>54</v>
      </c>
      <c r="H39" s="21" t="n">
        <v>72</v>
      </c>
      <c r="I39" s="21" t="n">
        <v>108</v>
      </c>
      <c r="J39" s="22" t="n">
        <f aca="false">F39*G39</f>
        <v>3952.8</v>
      </c>
      <c r="K39" s="22" t="n">
        <f aca="false">F39*H39</f>
        <v>5270.4</v>
      </c>
      <c r="L39" s="22" t="n">
        <f aca="false">F39*I39</f>
        <v>7905.6</v>
      </c>
      <c r="M39" s="5" t="s">
        <v>373</v>
      </c>
    </row>
    <row r="40" customFormat="false" ht="15" hidden="false" customHeight="false" outlineLevel="0" collapsed="false">
      <c r="A40" s="5" t="s">
        <v>546</v>
      </c>
      <c r="B40" s="5" t="s">
        <v>275</v>
      </c>
      <c r="C40" s="5" t="s">
        <v>186</v>
      </c>
      <c r="D40" s="5" t="s">
        <v>276</v>
      </c>
      <c r="E40" s="5" t="s">
        <v>277</v>
      </c>
      <c r="F40" s="21" t="n">
        <v>1179.17</v>
      </c>
      <c r="G40" s="21" t="n">
        <v>4</v>
      </c>
      <c r="H40" s="21" t="n">
        <v>5.33</v>
      </c>
      <c r="I40" s="21" t="n">
        <v>8</v>
      </c>
      <c r="J40" s="22" t="n">
        <f aca="false">F40*G40</f>
        <v>4716.68</v>
      </c>
      <c r="K40" s="22" t="n">
        <f aca="false">F40*H40</f>
        <v>6284.9761</v>
      </c>
      <c r="L40" s="22" t="n">
        <f aca="false">F40*I40</f>
        <v>9433.36</v>
      </c>
      <c r="M40" s="5" t="s">
        <v>375</v>
      </c>
    </row>
    <row r="41" customFormat="false" ht="15" hidden="false" customHeight="false" outlineLevel="0" collapsed="false">
      <c r="A41" s="5" t="s">
        <v>546</v>
      </c>
      <c r="B41" s="5" t="s">
        <v>272</v>
      </c>
      <c r="C41" s="5" t="s">
        <v>186</v>
      </c>
      <c r="D41" s="5" t="s">
        <v>273</v>
      </c>
      <c r="E41" s="5" t="s">
        <v>188</v>
      </c>
      <c r="F41" s="21" t="n">
        <v>223.25</v>
      </c>
      <c r="G41" s="21" t="n">
        <v>9</v>
      </c>
      <c r="H41" s="21" t="n">
        <v>12</v>
      </c>
      <c r="I41" s="21" t="n">
        <v>18</v>
      </c>
      <c r="J41" s="22" t="n">
        <f aca="false">F41*G41</f>
        <v>2009.25</v>
      </c>
      <c r="K41" s="22" t="n">
        <f aca="false">F41*H41</f>
        <v>2679</v>
      </c>
      <c r="L41" s="22" t="n">
        <f aca="false">F41*I41</f>
        <v>4018.5</v>
      </c>
      <c r="M41" s="5" t="s">
        <v>376</v>
      </c>
    </row>
    <row r="42" customFormat="false" ht="15" hidden="false" customHeight="false" outlineLevel="0" collapsed="false">
      <c r="A42" s="5" t="s">
        <v>547</v>
      </c>
      <c r="B42" s="5" t="s">
        <v>265</v>
      </c>
      <c r="C42" s="5" t="s">
        <v>186</v>
      </c>
      <c r="D42" s="5" t="s">
        <v>266</v>
      </c>
      <c r="E42" s="5" t="s">
        <v>188</v>
      </c>
      <c r="F42" s="21" t="n">
        <v>12.33</v>
      </c>
      <c r="G42" s="21" t="n">
        <v>144</v>
      </c>
      <c r="H42" s="21" t="n">
        <v>192</v>
      </c>
      <c r="I42" s="21" t="n">
        <v>288</v>
      </c>
      <c r="J42" s="22" t="n">
        <f aca="false">F42*G42</f>
        <v>1775.52</v>
      </c>
      <c r="K42" s="22" t="n">
        <f aca="false">F42*H42</f>
        <v>2367.36</v>
      </c>
      <c r="L42" s="22" t="n">
        <f aca="false">F42*I42</f>
        <v>3551.04</v>
      </c>
      <c r="M42" s="5" t="s">
        <v>378</v>
      </c>
    </row>
    <row r="43" customFormat="false" ht="15" hidden="false" customHeight="false" outlineLevel="0" collapsed="false">
      <c r="A43" s="5" t="s">
        <v>547</v>
      </c>
      <c r="B43" s="5" t="s">
        <v>379</v>
      </c>
      <c r="C43" s="5" t="s">
        <v>186</v>
      </c>
      <c r="D43" s="5" t="s">
        <v>380</v>
      </c>
      <c r="E43" s="5" t="s">
        <v>188</v>
      </c>
      <c r="F43" s="21" t="n">
        <v>23.22</v>
      </c>
      <c r="G43" s="21" t="n">
        <v>36</v>
      </c>
      <c r="H43" s="21" t="n">
        <v>48</v>
      </c>
      <c r="I43" s="21" t="n">
        <v>72</v>
      </c>
      <c r="J43" s="22" t="n">
        <f aca="false">F43*G43</f>
        <v>835.92</v>
      </c>
      <c r="K43" s="22" t="n">
        <f aca="false">F43*H43</f>
        <v>1114.56</v>
      </c>
      <c r="L43" s="22" t="n">
        <f aca="false">F43*I43</f>
        <v>1671.84</v>
      </c>
      <c r="M43" s="5" t="s">
        <v>381</v>
      </c>
    </row>
    <row r="44" customFormat="false" ht="15" hidden="false" customHeight="false" outlineLevel="0" collapsed="false">
      <c r="A44" s="5" t="s">
        <v>548</v>
      </c>
      <c r="B44" s="5" t="s">
        <v>280</v>
      </c>
      <c r="C44" s="5" t="s">
        <v>186</v>
      </c>
      <c r="D44" s="5" t="s">
        <v>281</v>
      </c>
      <c r="E44" s="5" t="s">
        <v>277</v>
      </c>
      <c r="F44" s="21" t="n">
        <v>53.69</v>
      </c>
      <c r="G44" s="21" t="n">
        <v>10</v>
      </c>
      <c r="H44" s="21" t="n">
        <v>13.33</v>
      </c>
      <c r="I44" s="21" t="n">
        <v>20</v>
      </c>
      <c r="J44" s="22" t="n">
        <f aca="false">F44*G44</f>
        <v>536.9</v>
      </c>
      <c r="K44" s="22" t="n">
        <f aca="false">F44*H44</f>
        <v>715.6877</v>
      </c>
      <c r="L44" s="22" t="n">
        <f aca="false">F44*I44</f>
        <v>1073.8</v>
      </c>
      <c r="M44" s="5" t="s">
        <v>383</v>
      </c>
    </row>
    <row r="45" customFormat="false" ht="15" hidden="false" customHeight="false" outlineLevel="0" collapsed="false">
      <c r="A45" s="5" t="s">
        <v>548</v>
      </c>
      <c r="B45" s="5" t="s">
        <v>283</v>
      </c>
      <c r="C45" s="5" t="s">
        <v>186</v>
      </c>
      <c r="D45" s="5" t="s">
        <v>284</v>
      </c>
      <c r="E45" s="5" t="s">
        <v>277</v>
      </c>
      <c r="F45" s="21" t="n">
        <v>30.86</v>
      </c>
      <c r="G45" s="21" t="n">
        <v>7.5</v>
      </c>
      <c r="H45" s="21" t="n">
        <v>10</v>
      </c>
      <c r="I45" s="21" t="n">
        <v>15</v>
      </c>
      <c r="J45" s="22" t="n">
        <f aca="false">F45*G45</f>
        <v>231.45</v>
      </c>
      <c r="K45" s="22" t="n">
        <f aca="false">F45*H45</f>
        <v>308.6</v>
      </c>
      <c r="L45" s="22" t="n">
        <f aca="false">F45*I45</f>
        <v>462.9</v>
      </c>
      <c r="M45" s="5" t="s">
        <v>384</v>
      </c>
    </row>
    <row r="46" customFormat="false" ht="15" hidden="false" customHeight="false" outlineLevel="0" collapsed="false">
      <c r="A46" s="5" t="s">
        <v>548</v>
      </c>
      <c r="B46" s="5" t="s">
        <v>286</v>
      </c>
      <c r="C46" s="5" t="s">
        <v>186</v>
      </c>
      <c r="D46" s="5" t="s">
        <v>287</v>
      </c>
      <c r="E46" s="5" t="s">
        <v>194</v>
      </c>
      <c r="F46" s="21" t="n">
        <v>5.48</v>
      </c>
      <c r="G46" s="21" t="n">
        <v>720</v>
      </c>
      <c r="H46" s="21" t="n">
        <v>960</v>
      </c>
      <c r="I46" s="21" t="n">
        <v>1440</v>
      </c>
      <c r="J46" s="22" t="n">
        <f aca="false">F46*G46</f>
        <v>3945.6</v>
      </c>
      <c r="K46" s="22" t="n">
        <f aca="false">F46*H46</f>
        <v>5260.8</v>
      </c>
      <c r="L46" s="22" t="n">
        <f aca="false">F46*I46</f>
        <v>7891.2</v>
      </c>
      <c r="M46" s="5" t="s">
        <v>385</v>
      </c>
    </row>
    <row r="47" customFormat="false" ht="15" hidden="false" customHeight="false" outlineLevel="0" collapsed="false">
      <c r="A47" s="5" t="s">
        <v>548</v>
      </c>
      <c r="B47" s="5" t="s">
        <v>289</v>
      </c>
      <c r="C47" s="5" t="s">
        <v>186</v>
      </c>
      <c r="D47" s="5" t="s">
        <v>290</v>
      </c>
      <c r="E47" s="5" t="s">
        <v>194</v>
      </c>
      <c r="F47" s="21" t="n">
        <v>11.2</v>
      </c>
      <c r="G47" s="21" t="n">
        <v>240</v>
      </c>
      <c r="H47" s="21" t="n">
        <v>320</v>
      </c>
      <c r="I47" s="21" t="n">
        <v>480</v>
      </c>
      <c r="J47" s="22" t="n">
        <f aca="false">F47*G47</f>
        <v>2688</v>
      </c>
      <c r="K47" s="22" t="n">
        <f aca="false">F47*H47</f>
        <v>3584</v>
      </c>
      <c r="L47" s="22" t="n">
        <f aca="false">F47*I47</f>
        <v>5376</v>
      </c>
      <c r="M47" s="5" t="s">
        <v>386</v>
      </c>
    </row>
    <row r="48" customFormat="false" ht="15" hidden="false" customHeight="false" outlineLevel="0" collapsed="false">
      <c r="A48" s="5" t="s">
        <v>549</v>
      </c>
      <c r="B48" s="5" t="s">
        <v>301</v>
      </c>
      <c r="C48" s="5" t="s">
        <v>186</v>
      </c>
      <c r="D48" s="5" t="s">
        <v>302</v>
      </c>
      <c r="E48" s="5" t="s">
        <v>194</v>
      </c>
      <c r="F48" s="21" t="n">
        <v>43.26</v>
      </c>
      <c r="G48" s="21" t="n">
        <v>18</v>
      </c>
      <c r="H48" s="21" t="n">
        <v>24</v>
      </c>
      <c r="I48" s="21" t="n">
        <v>36</v>
      </c>
      <c r="J48" s="22" t="n">
        <f aca="false">F48*G48</f>
        <v>778.68</v>
      </c>
      <c r="K48" s="22" t="n">
        <f aca="false">F48*H48</f>
        <v>1038.24</v>
      </c>
      <c r="L48" s="22" t="n">
        <f aca="false">F48*I48</f>
        <v>1557.36</v>
      </c>
      <c r="M48" s="5" t="s">
        <v>388</v>
      </c>
    </row>
    <row r="49" customFormat="false" ht="15" hidden="false" customHeight="false" outlineLevel="0" collapsed="false">
      <c r="A49" s="5" t="s">
        <v>548</v>
      </c>
      <c r="B49" s="5" t="s">
        <v>292</v>
      </c>
      <c r="C49" s="5" t="s">
        <v>186</v>
      </c>
      <c r="D49" s="5" t="s">
        <v>293</v>
      </c>
      <c r="E49" s="5" t="s">
        <v>277</v>
      </c>
      <c r="F49" s="21" t="n">
        <v>623.29</v>
      </c>
      <c r="G49" s="21" t="n">
        <v>1</v>
      </c>
      <c r="H49" s="21" t="n">
        <v>1</v>
      </c>
      <c r="I49" s="21" t="n">
        <v>1</v>
      </c>
      <c r="J49" s="22" t="n">
        <f aca="false">F49*G49</f>
        <v>623.29</v>
      </c>
      <c r="K49" s="22" t="n">
        <f aca="false">F49*H49</f>
        <v>623.29</v>
      </c>
      <c r="L49" s="22" t="n">
        <f aca="false">F49*I49</f>
        <v>623.29</v>
      </c>
      <c r="M49" s="5" t="s">
        <v>389</v>
      </c>
    </row>
    <row r="50" customFormat="false" ht="15" hidden="false" customHeight="false" outlineLevel="0" collapsed="false">
      <c r="A50" s="5" t="s">
        <v>549</v>
      </c>
      <c r="B50" s="5" t="s">
        <v>295</v>
      </c>
      <c r="C50" s="5" t="s">
        <v>186</v>
      </c>
      <c r="D50" s="5" t="s">
        <v>296</v>
      </c>
      <c r="E50" s="5" t="s">
        <v>277</v>
      </c>
      <c r="F50" s="21" t="n">
        <v>630.3</v>
      </c>
      <c r="G50" s="21" t="n">
        <v>1.5</v>
      </c>
      <c r="H50" s="21" t="n">
        <v>2</v>
      </c>
      <c r="I50" s="21" t="n">
        <v>3</v>
      </c>
      <c r="J50" s="22" t="n">
        <f aca="false">F50*G50</f>
        <v>945.45</v>
      </c>
      <c r="K50" s="22" t="n">
        <f aca="false">F50*H50</f>
        <v>1260.6</v>
      </c>
      <c r="L50" s="22" t="n">
        <f aca="false">F50*I50</f>
        <v>1890.9</v>
      </c>
      <c r="M50" s="5" t="s">
        <v>390</v>
      </c>
    </row>
    <row r="51" customFormat="false" ht="15" hidden="false" customHeight="false" outlineLevel="0" collapsed="false">
      <c r="A51" s="5" t="s">
        <v>549</v>
      </c>
      <c r="B51" s="5" t="s">
        <v>298</v>
      </c>
      <c r="C51" s="5" t="s">
        <v>186</v>
      </c>
      <c r="D51" s="5" t="s">
        <v>299</v>
      </c>
      <c r="E51" s="5" t="s">
        <v>277</v>
      </c>
      <c r="F51" s="21" t="n">
        <v>368.02</v>
      </c>
      <c r="G51" s="21" t="n">
        <v>1.5</v>
      </c>
      <c r="H51" s="21" t="n">
        <v>2</v>
      </c>
      <c r="I51" s="21" t="n">
        <v>3</v>
      </c>
      <c r="J51" s="22" t="n">
        <f aca="false">F51*G51</f>
        <v>552.03</v>
      </c>
      <c r="K51" s="22" t="n">
        <f aca="false">F51*H51</f>
        <v>736.04</v>
      </c>
      <c r="L51" s="22" t="n">
        <f aca="false">F51*I51</f>
        <v>1104.06</v>
      </c>
      <c r="M51" s="5" t="s">
        <v>391</v>
      </c>
    </row>
    <row r="52" customFormat="false" ht="15" hidden="false" customHeight="false" outlineLevel="0" collapsed="false">
      <c r="A52" s="5" t="s">
        <v>549</v>
      </c>
      <c r="B52" s="5" t="s">
        <v>392</v>
      </c>
      <c r="C52" s="5" t="s">
        <v>186</v>
      </c>
      <c r="D52" s="5" t="s">
        <v>393</v>
      </c>
      <c r="E52" s="5" t="s">
        <v>277</v>
      </c>
      <c r="F52" s="21" t="n">
        <v>852.26</v>
      </c>
      <c r="G52" s="21" t="n">
        <v>1</v>
      </c>
      <c r="H52" s="21" t="n">
        <v>1</v>
      </c>
      <c r="I52" s="21" t="n">
        <v>1</v>
      </c>
      <c r="J52" s="22" t="n">
        <f aca="false">F52*G52</f>
        <v>852.26</v>
      </c>
      <c r="K52" s="22" t="n">
        <f aca="false">F52*H52</f>
        <v>852.26</v>
      </c>
      <c r="L52" s="22" t="n">
        <f aca="false">F52*I52</f>
        <v>852.26</v>
      </c>
      <c r="M52" s="5" t="s">
        <v>394</v>
      </c>
    </row>
    <row r="53" customFormat="false" ht="15" hidden="false" customHeight="false" outlineLevel="0" collapsed="false">
      <c r="A53" s="5" t="s">
        <v>549</v>
      </c>
      <c r="B53" s="5" t="s">
        <v>395</v>
      </c>
      <c r="C53" s="5" t="s">
        <v>186</v>
      </c>
      <c r="D53" s="5" t="s">
        <v>396</v>
      </c>
      <c r="E53" s="5" t="s">
        <v>277</v>
      </c>
      <c r="F53" s="21" t="n">
        <v>333.31</v>
      </c>
      <c r="G53" s="21" t="n">
        <v>1</v>
      </c>
      <c r="H53" s="21" t="n">
        <v>1</v>
      </c>
      <c r="I53" s="21" t="n">
        <v>1</v>
      </c>
      <c r="J53" s="22" t="n">
        <f aca="false">F53*G53</f>
        <v>333.31</v>
      </c>
      <c r="K53" s="22" t="n">
        <f aca="false">F53*H53</f>
        <v>333.31</v>
      </c>
      <c r="L53" s="22" t="n">
        <f aca="false">F53*I53</f>
        <v>333.31</v>
      </c>
      <c r="M53" s="5" t="s">
        <v>397</v>
      </c>
    </row>
    <row r="54" customFormat="false" ht="15" hidden="false" customHeight="false" outlineLevel="0" collapsed="false">
      <c r="A54" s="5" t="s">
        <v>550</v>
      </c>
      <c r="B54" s="5" t="s">
        <v>305</v>
      </c>
      <c r="C54" s="5" t="s">
        <v>186</v>
      </c>
      <c r="D54" s="5" t="s">
        <v>306</v>
      </c>
      <c r="E54" s="5" t="s">
        <v>277</v>
      </c>
      <c r="F54" s="21" t="n">
        <v>288.1</v>
      </c>
      <c r="G54" s="21" t="n">
        <v>1</v>
      </c>
      <c r="H54" s="21" t="n">
        <v>1</v>
      </c>
      <c r="I54" s="21" t="n">
        <v>1</v>
      </c>
      <c r="J54" s="22" t="n">
        <f aca="false">F54*G54</f>
        <v>288.1</v>
      </c>
      <c r="K54" s="22" t="n">
        <f aca="false">F54*H54</f>
        <v>288.1</v>
      </c>
      <c r="L54" s="22" t="n">
        <f aca="false">F54*I54</f>
        <v>288.1</v>
      </c>
      <c r="M54" s="5" t="s">
        <v>399</v>
      </c>
    </row>
    <row r="55" customFormat="false" ht="15" hidden="false" customHeight="false" outlineLevel="0" collapsed="false">
      <c r="A55" s="5" t="s">
        <v>550</v>
      </c>
      <c r="B55" s="5" t="s">
        <v>308</v>
      </c>
      <c r="C55" s="5" t="s">
        <v>186</v>
      </c>
      <c r="D55" s="5" t="s">
        <v>309</v>
      </c>
      <c r="E55" s="5" t="s">
        <v>277</v>
      </c>
      <c r="F55" s="21" t="n">
        <v>17.96</v>
      </c>
      <c r="G55" s="21" t="n">
        <v>1.2</v>
      </c>
      <c r="H55" s="21" t="n">
        <v>1.6</v>
      </c>
      <c r="I55" s="21" t="n">
        <v>2.4</v>
      </c>
      <c r="J55" s="22" t="n">
        <f aca="false">F55*G55</f>
        <v>21.552</v>
      </c>
      <c r="K55" s="22" t="n">
        <f aca="false">F55*H55</f>
        <v>28.736</v>
      </c>
      <c r="L55" s="22" t="n">
        <f aca="false">F55*I55</f>
        <v>43.104</v>
      </c>
      <c r="M55" s="5" t="s">
        <v>400</v>
      </c>
    </row>
    <row r="56" customFormat="false" ht="15" hidden="false" customHeight="false" outlineLevel="0" collapsed="false">
      <c r="A56" s="5" t="s">
        <v>550</v>
      </c>
      <c r="B56" s="5" t="s">
        <v>311</v>
      </c>
      <c r="C56" s="5" t="s">
        <v>192</v>
      </c>
      <c r="D56" s="5" t="s">
        <v>312</v>
      </c>
      <c r="E56" s="5" t="s">
        <v>277</v>
      </c>
      <c r="F56" s="21" t="n">
        <v>20.47</v>
      </c>
      <c r="G56" s="21" t="n">
        <v>1.2</v>
      </c>
      <c r="H56" s="21" t="n">
        <v>1.6</v>
      </c>
      <c r="I56" s="21" t="n">
        <v>2.4</v>
      </c>
      <c r="J56" s="22" t="n">
        <f aca="false">F56*G56</f>
        <v>24.564</v>
      </c>
      <c r="K56" s="22" t="n">
        <f aca="false">F56*H56</f>
        <v>32.752</v>
      </c>
      <c r="L56" s="22" t="n">
        <f aca="false">F56*I56</f>
        <v>49.128</v>
      </c>
      <c r="M56" s="5" t="s">
        <v>401</v>
      </c>
    </row>
    <row r="57" customFormat="false" ht="15" hidden="false" customHeight="false" outlineLevel="0" collapsed="false">
      <c r="A57" s="5" t="s">
        <v>817</v>
      </c>
      <c r="B57" s="5" t="s">
        <v>511</v>
      </c>
      <c r="C57" s="5" t="s">
        <v>186</v>
      </c>
      <c r="D57" s="5" t="s">
        <v>512</v>
      </c>
      <c r="E57" s="5" t="s">
        <v>188</v>
      </c>
      <c r="F57" s="21" t="n">
        <v>3.35</v>
      </c>
      <c r="G57" s="21" t="n">
        <v>0</v>
      </c>
      <c r="H57" s="21" t="n">
        <v>5400</v>
      </c>
      <c r="I57" s="21" t="n">
        <v>0</v>
      </c>
      <c r="J57" s="22" t="n">
        <f aca="false">F57*G57</f>
        <v>0</v>
      </c>
      <c r="K57" s="22" t="n">
        <f aca="false">F57*H57</f>
        <v>18090</v>
      </c>
      <c r="L57" s="22" t="n">
        <f aca="false">F57*I57</f>
        <v>0</v>
      </c>
      <c r="M57" s="5" t="s">
        <v>828</v>
      </c>
    </row>
    <row r="58" customFormat="false" ht="15" hidden="false" customHeight="false" outlineLevel="0" collapsed="false">
      <c r="A58" s="5" t="s">
        <v>817</v>
      </c>
      <c r="B58" s="5" t="s">
        <v>511</v>
      </c>
      <c r="C58" s="5" t="s">
        <v>186</v>
      </c>
      <c r="D58" s="5" t="s">
        <v>512</v>
      </c>
      <c r="E58" s="5" t="s">
        <v>188</v>
      </c>
      <c r="F58" s="21" t="n">
        <v>3.35</v>
      </c>
      <c r="G58" s="21" t="n">
        <v>0</v>
      </c>
      <c r="H58" s="21" t="n">
        <v>0</v>
      </c>
      <c r="I58" s="21" t="n">
        <v>6400</v>
      </c>
      <c r="J58" s="22" t="n">
        <f aca="false">F58*G58</f>
        <v>0</v>
      </c>
      <c r="K58" s="22" t="n">
        <f aca="false">F58*H58</f>
        <v>0</v>
      </c>
      <c r="L58" s="22" t="n">
        <f aca="false">F58*I58</f>
        <v>21440</v>
      </c>
      <c r="M58" s="5" t="s">
        <v>829</v>
      </c>
    </row>
    <row r="59" customFormat="false" ht="15" hidden="false" customHeight="false" outlineLevel="0" collapsed="false">
      <c r="I59" s="7" t="s">
        <v>323</v>
      </c>
      <c r="J59" s="23" t="n">
        <f aca="false">SUM(J16:J58)</f>
        <v>220534.11</v>
      </c>
      <c r="K59" s="23" t="n">
        <f aca="false">SUM(K16:K58)</f>
        <v>317368.8438</v>
      </c>
      <c r="L59" s="23" t="n">
        <f aca="false">SUM(L16:L58)</f>
        <v>411798.76</v>
      </c>
    </row>
    <row r="60" customFormat="false" ht="15" hidden="false" customHeight="false" outlineLevel="0" collapsed="false">
      <c r="I60" s="7" t="s">
        <v>324</v>
      </c>
      <c r="J60" s="24" t="n">
        <f aca="false">PARAMETROS!$B$6</f>
        <v>0.2034</v>
      </c>
      <c r="K60" s="24" t="n">
        <f aca="false">PARAMETROS!$C$6</f>
        <v>0.2212</v>
      </c>
      <c r="L60" s="24" t="n">
        <f aca="false">PARAMETROS!$D$6</f>
        <v>0.25</v>
      </c>
    </row>
    <row r="61" customFormat="false" ht="15" hidden="false" customHeight="false" outlineLevel="0" collapsed="false">
      <c r="I61" s="7" t="s">
        <v>325</v>
      </c>
      <c r="J61" s="24" t="n">
        <f aca="false">PARAMETROS!$B$8</f>
        <v>0.05</v>
      </c>
      <c r="K61" s="24" t="n">
        <f aca="false">PARAMETROS!$C$8</f>
        <v>0.1</v>
      </c>
      <c r="L61" s="24" t="n">
        <f aca="false">PARAMETROS!$D$8</f>
        <v>0.15</v>
      </c>
    </row>
    <row r="62" customFormat="false" ht="15" hidden="false" customHeight="false" outlineLevel="0" collapsed="false">
      <c r="I62" s="7" t="s">
        <v>155</v>
      </c>
      <c r="J62" s="25" t="n">
        <f aca="false">PARAMETROS!$B$9</f>
        <v>1</v>
      </c>
      <c r="K62" s="25" t="n">
        <f aca="false">PARAMETROS!$C$9</f>
        <v>1</v>
      </c>
      <c r="L62" s="25" t="n">
        <f aca="false">PARAMETROS!$D$9</f>
        <v>1.1</v>
      </c>
    </row>
    <row r="63" customFormat="false" ht="15" hidden="false" customHeight="false" outlineLevel="0" collapsed="false">
      <c r="I63" s="7" t="s">
        <v>326</v>
      </c>
      <c r="J63" s="8" t="n">
        <f aca="false">J59*(1+J60)*(1+J61)*J62</f>
        <v>278660.2853727</v>
      </c>
      <c r="K63" s="8" t="n">
        <f aca="false">K59*(1+K60)*(1+K61)*K62</f>
        <v>426327.915253416</v>
      </c>
      <c r="L63" s="8" t="n">
        <f aca="false">L59*(1+L60)*(1+L61)*L62</f>
        <v>651156.78925</v>
      </c>
    </row>
    <row r="65" customFormat="false" ht="15" hidden="false" customHeight="false" outlineLevel="0" collapsed="false">
      <c r="A65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8" topLeftCell="E19" activePane="bottomRight" state="frozen"/>
      <selection pane="topLeft" activeCell="A1" activeCellId="0" sqref="A1"/>
      <selection pane="topRight" activeCell="E1" activeCellId="0" sqref="E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830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110</v>
      </c>
    </row>
    <row r="5" customFormat="false" ht="15" hidden="false" customHeight="false" outlineLevel="0" collapsed="false">
      <c r="A5" s="7" t="s">
        <v>7</v>
      </c>
      <c r="B5" s="10" t="s">
        <v>86</v>
      </c>
    </row>
    <row r="6" customFormat="false" ht="15" hidden="false" customHeight="false" outlineLevel="0" collapsed="false">
      <c r="A6" s="7" t="s">
        <v>6</v>
      </c>
      <c r="B6" s="10" t="s">
        <v>86</v>
      </c>
    </row>
    <row r="7" customFormat="false" ht="15" hidden="false" customHeight="false" outlineLevel="0" collapsed="false">
      <c r="A7" s="7" t="s">
        <v>8</v>
      </c>
      <c r="B7" s="10" t="s">
        <v>95</v>
      </c>
    </row>
    <row r="8" customFormat="false" ht="15" hidden="false" customHeight="false" outlineLevel="0" collapsed="false">
      <c r="A8" s="7" t="s">
        <v>160</v>
      </c>
      <c r="B8" s="10" t="s">
        <v>831</v>
      </c>
    </row>
    <row r="9" customFormat="false" ht="15" hidden="false" customHeight="false" outlineLevel="0" collapsed="false">
      <c r="A9" s="7" t="s">
        <v>9</v>
      </c>
      <c r="B9" s="10" t="s">
        <v>112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404</v>
      </c>
    </row>
    <row r="12" customFormat="false" ht="15" hidden="false" customHeight="false" outlineLevel="0" collapsed="false">
      <c r="A12" s="7" t="s">
        <v>166</v>
      </c>
      <c r="B12" s="20" t="s">
        <v>832</v>
      </c>
    </row>
    <row r="13" customFormat="false" ht="15" hidden="false" customHeight="false" outlineLevel="0" collapsed="false">
      <c r="B13" s="20" t="s">
        <v>833</v>
      </c>
    </row>
    <row r="14" customFormat="false" ht="15" hidden="false" customHeight="false" outlineLevel="0" collapsed="false">
      <c r="B14" s="20" t="s">
        <v>834</v>
      </c>
    </row>
    <row r="15" customFormat="false" ht="15" hidden="false" customHeight="false" outlineLevel="0" collapsed="false">
      <c r="B15" s="20" t="s">
        <v>575</v>
      </c>
    </row>
    <row r="16" customFormat="false" ht="15" hidden="false" customHeight="false" outlineLevel="0" collapsed="false">
      <c r="B16" s="20" t="s">
        <v>835</v>
      </c>
    </row>
    <row r="18" customFormat="false" ht="23.85" hidden="false" customHeight="false" outlineLevel="0" collapsed="false">
      <c r="A18" s="4" t="s">
        <v>171</v>
      </c>
      <c r="B18" s="4" t="s">
        <v>172</v>
      </c>
      <c r="C18" s="4" t="s">
        <v>173</v>
      </c>
      <c r="D18" s="4" t="s">
        <v>174</v>
      </c>
      <c r="E18" s="4" t="s">
        <v>175</v>
      </c>
      <c r="F18" s="4" t="s">
        <v>176</v>
      </c>
      <c r="G18" s="4" t="s">
        <v>177</v>
      </c>
      <c r="H18" s="4" t="s">
        <v>178</v>
      </c>
      <c r="I18" s="4" t="s">
        <v>179</v>
      </c>
      <c r="J18" s="4" t="s">
        <v>180</v>
      </c>
      <c r="K18" s="4" t="s">
        <v>181</v>
      </c>
      <c r="L18" s="4" t="s">
        <v>182</v>
      </c>
      <c r="M18" s="4" t="s">
        <v>183</v>
      </c>
    </row>
    <row r="19" customFormat="false" ht="15" hidden="false" customHeight="false" outlineLevel="0" collapsed="false">
      <c r="A19" s="5" t="s">
        <v>333</v>
      </c>
      <c r="B19" s="5" t="s">
        <v>216</v>
      </c>
      <c r="C19" s="5" t="s">
        <v>186</v>
      </c>
      <c r="D19" s="5" t="s">
        <v>217</v>
      </c>
      <c r="E19" s="5" t="s">
        <v>188</v>
      </c>
      <c r="F19" s="21" t="n">
        <v>454.97</v>
      </c>
      <c r="G19" s="21" t="n">
        <v>6</v>
      </c>
      <c r="H19" s="21" t="n">
        <v>6</v>
      </c>
      <c r="I19" s="21" t="n">
        <v>6</v>
      </c>
      <c r="J19" s="22" t="n">
        <f aca="false">F19*G19</f>
        <v>2729.82</v>
      </c>
      <c r="K19" s="22" t="n">
        <f aca="false">F19*H19</f>
        <v>2729.82</v>
      </c>
      <c r="L19" s="22" t="n">
        <f aca="false">F19*I19</f>
        <v>2729.82</v>
      </c>
      <c r="M19" s="5" t="s">
        <v>408</v>
      </c>
    </row>
    <row r="20" customFormat="false" ht="15" hidden="false" customHeight="false" outlineLevel="0" collapsed="false">
      <c r="A20" s="5" t="s">
        <v>333</v>
      </c>
      <c r="B20" s="5" t="s">
        <v>502</v>
      </c>
      <c r="C20" s="5" t="s">
        <v>186</v>
      </c>
      <c r="D20" s="5" t="s">
        <v>503</v>
      </c>
      <c r="E20" s="5" t="s">
        <v>188</v>
      </c>
      <c r="F20" s="21" t="n">
        <v>0.76</v>
      </c>
      <c r="G20" s="21" t="n">
        <v>4440</v>
      </c>
      <c r="H20" s="21" t="n">
        <v>9000</v>
      </c>
      <c r="I20" s="21" t="n">
        <v>17600</v>
      </c>
      <c r="J20" s="22" t="n">
        <f aca="false">F20*G20</f>
        <v>3374.4</v>
      </c>
      <c r="K20" s="22" t="n">
        <f aca="false">F20*H20</f>
        <v>6840</v>
      </c>
      <c r="L20" s="22" t="n">
        <f aca="false">F20*I20</f>
        <v>13376</v>
      </c>
      <c r="M20" s="5" t="s">
        <v>576</v>
      </c>
    </row>
    <row r="21" customFormat="false" ht="15" hidden="false" customHeight="false" outlineLevel="0" collapsed="false">
      <c r="A21" s="5" t="s">
        <v>409</v>
      </c>
      <c r="B21" s="5" t="s">
        <v>410</v>
      </c>
      <c r="C21" s="5" t="s">
        <v>186</v>
      </c>
      <c r="D21" s="5" t="s">
        <v>411</v>
      </c>
      <c r="E21" s="5" t="s">
        <v>317</v>
      </c>
      <c r="F21" s="21" t="n">
        <v>10.58</v>
      </c>
      <c r="G21" s="21" t="n">
        <v>1152</v>
      </c>
      <c r="H21" s="21" t="n">
        <v>0</v>
      </c>
      <c r="I21" s="21" t="n">
        <v>0</v>
      </c>
      <c r="J21" s="22" t="n">
        <f aca="false">F21*G21</f>
        <v>12188.16</v>
      </c>
      <c r="K21" s="22" t="n">
        <f aca="false">F21*H21</f>
        <v>0</v>
      </c>
      <c r="L21" s="22" t="n">
        <f aca="false">F21*I21</f>
        <v>0</v>
      </c>
      <c r="M21" s="5" t="s">
        <v>836</v>
      </c>
    </row>
    <row r="22" customFormat="false" ht="15" hidden="false" customHeight="false" outlineLevel="0" collapsed="false">
      <c r="A22" s="5" t="s">
        <v>409</v>
      </c>
      <c r="B22" s="5" t="s">
        <v>487</v>
      </c>
      <c r="C22" s="5" t="s">
        <v>186</v>
      </c>
      <c r="D22" s="5" t="s">
        <v>488</v>
      </c>
      <c r="E22" s="5" t="s">
        <v>194</v>
      </c>
      <c r="F22" s="21" t="n">
        <v>351.67</v>
      </c>
      <c r="G22" s="21" t="n">
        <v>600</v>
      </c>
      <c r="H22" s="21" t="n">
        <v>1000</v>
      </c>
      <c r="I22" s="21" t="n">
        <v>0</v>
      </c>
      <c r="J22" s="22" t="n">
        <f aca="false">F22*G22</f>
        <v>211002</v>
      </c>
      <c r="K22" s="22" t="n">
        <f aca="false">F22*H22</f>
        <v>351670</v>
      </c>
      <c r="L22" s="22" t="n">
        <f aca="false">F22*I22</f>
        <v>0</v>
      </c>
      <c r="M22" s="5" t="s">
        <v>489</v>
      </c>
    </row>
    <row r="23" customFormat="false" ht="15" hidden="false" customHeight="false" outlineLevel="0" collapsed="false">
      <c r="A23" s="5" t="s">
        <v>409</v>
      </c>
      <c r="B23" s="5" t="s">
        <v>416</v>
      </c>
      <c r="C23" s="5" t="s">
        <v>186</v>
      </c>
      <c r="D23" s="5" t="s">
        <v>417</v>
      </c>
      <c r="E23" s="5" t="s">
        <v>317</v>
      </c>
      <c r="F23" s="21" t="n">
        <v>20.26</v>
      </c>
      <c r="G23" s="21" t="n">
        <v>921.09</v>
      </c>
      <c r="H23" s="21" t="n">
        <v>1535.15</v>
      </c>
      <c r="I23" s="21" t="n">
        <v>3014.12</v>
      </c>
      <c r="J23" s="22" t="n">
        <f aca="false">F23*G23</f>
        <v>18661.2834</v>
      </c>
      <c r="K23" s="22" t="n">
        <f aca="false">F23*H23</f>
        <v>31102.139</v>
      </c>
      <c r="L23" s="22" t="n">
        <f aca="false">F23*I23</f>
        <v>61066.0712</v>
      </c>
      <c r="M23" s="5" t="s">
        <v>418</v>
      </c>
    </row>
    <row r="24" customFormat="false" ht="15" hidden="false" customHeight="false" outlineLevel="0" collapsed="false">
      <c r="A24" s="5" t="s">
        <v>409</v>
      </c>
      <c r="B24" s="5" t="s">
        <v>490</v>
      </c>
      <c r="C24" s="5" t="s">
        <v>186</v>
      </c>
      <c r="D24" s="5" t="s">
        <v>491</v>
      </c>
      <c r="E24" s="5" t="s">
        <v>277</v>
      </c>
      <c r="F24" s="21" t="n">
        <v>1613.82</v>
      </c>
      <c r="G24" s="21" t="n">
        <v>16</v>
      </c>
      <c r="H24" s="21" t="n">
        <v>26</v>
      </c>
      <c r="I24" s="21" t="n">
        <v>0</v>
      </c>
      <c r="J24" s="22" t="n">
        <f aca="false">F24*G24</f>
        <v>25821.12</v>
      </c>
      <c r="K24" s="22" t="n">
        <f aca="false">F24*H24</f>
        <v>41959.32</v>
      </c>
      <c r="L24" s="22" t="n">
        <f aca="false">F24*I24</f>
        <v>0</v>
      </c>
      <c r="M24" s="5" t="s">
        <v>421</v>
      </c>
    </row>
    <row r="25" customFormat="false" ht="15" hidden="false" customHeight="false" outlineLevel="0" collapsed="false">
      <c r="A25" s="5" t="s">
        <v>409</v>
      </c>
      <c r="B25" s="5" t="s">
        <v>492</v>
      </c>
      <c r="C25" s="5" t="s">
        <v>186</v>
      </c>
      <c r="D25" s="5" t="s">
        <v>493</v>
      </c>
      <c r="E25" s="5" t="s">
        <v>194</v>
      </c>
      <c r="F25" s="21" t="n">
        <v>634.89</v>
      </c>
      <c r="G25" s="21" t="n">
        <v>8</v>
      </c>
      <c r="H25" s="21" t="n">
        <v>13</v>
      </c>
      <c r="I25" s="21" t="n">
        <v>0</v>
      </c>
      <c r="J25" s="22" t="n">
        <f aca="false">F25*G25</f>
        <v>5079.12</v>
      </c>
      <c r="K25" s="22" t="n">
        <f aca="false">F25*H25</f>
        <v>8253.57</v>
      </c>
      <c r="L25" s="22" t="n">
        <f aca="false">F25*I25</f>
        <v>0</v>
      </c>
      <c r="M25" s="5" t="s">
        <v>424</v>
      </c>
    </row>
    <row r="26" customFormat="false" ht="15" hidden="false" customHeight="false" outlineLevel="0" collapsed="false">
      <c r="A26" s="5" t="s">
        <v>409</v>
      </c>
      <c r="B26" s="5" t="s">
        <v>425</v>
      </c>
      <c r="C26" s="5" t="s">
        <v>186</v>
      </c>
      <c r="D26" s="5" t="s">
        <v>426</v>
      </c>
      <c r="E26" s="5" t="s">
        <v>277</v>
      </c>
      <c r="F26" s="21" t="n">
        <v>1812.94</v>
      </c>
      <c r="G26" s="21" t="n">
        <v>30</v>
      </c>
      <c r="H26" s="21" t="n">
        <v>50</v>
      </c>
      <c r="I26" s="21" t="n">
        <v>80</v>
      </c>
      <c r="J26" s="22" t="n">
        <f aca="false">F26*G26</f>
        <v>54388.2</v>
      </c>
      <c r="K26" s="22" t="n">
        <f aca="false">F26*H26</f>
        <v>90647</v>
      </c>
      <c r="L26" s="22" t="n">
        <f aca="false">F26*I26</f>
        <v>145035.2</v>
      </c>
      <c r="M26" s="5" t="s">
        <v>427</v>
      </c>
    </row>
    <row r="27" customFormat="false" ht="15" hidden="false" customHeight="false" outlineLevel="0" collapsed="false">
      <c r="A27" s="5" t="s">
        <v>409</v>
      </c>
      <c r="B27" s="5" t="s">
        <v>428</v>
      </c>
      <c r="C27" s="5" t="s">
        <v>186</v>
      </c>
      <c r="D27" s="5" t="s">
        <v>429</v>
      </c>
      <c r="E27" s="5" t="s">
        <v>194</v>
      </c>
      <c r="F27" s="21" t="n">
        <v>188.74</v>
      </c>
      <c r="G27" s="21" t="n">
        <v>120</v>
      </c>
      <c r="H27" s="21" t="n">
        <v>200</v>
      </c>
      <c r="I27" s="21" t="n">
        <v>320</v>
      </c>
      <c r="J27" s="22" t="n">
        <f aca="false">F27*G27</f>
        <v>22648.8</v>
      </c>
      <c r="K27" s="22" t="n">
        <f aca="false">F27*H27</f>
        <v>37748</v>
      </c>
      <c r="L27" s="22" t="n">
        <f aca="false">F27*I27</f>
        <v>60396.8</v>
      </c>
      <c r="M27" s="5" t="s">
        <v>430</v>
      </c>
    </row>
    <row r="28" customFormat="false" ht="15" hidden="false" customHeight="false" outlineLevel="0" collapsed="false">
      <c r="A28" s="5" t="s">
        <v>409</v>
      </c>
      <c r="B28" s="5" t="s">
        <v>315</v>
      </c>
      <c r="C28" s="5" t="s">
        <v>186</v>
      </c>
      <c r="D28" s="5" t="s">
        <v>316</v>
      </c>
      <c r="E28" s="5" t="s">
        <v>317</v>
      </c>
      <c r="F28" s="21" t="n">
        <v>9.88</v>
      </c>
      <c r="G28" s="21" t="n">
        <v>230.91</v>
      </c>
      <c r="H28" s="21" t="n">
        <v>384.85</v>
      </c>
      <c r="I28" s="21" t="n">
        <v>1017.88</v>
      </c>
      <c r="J28" s="22" t="n">
        <f aca="false">F28*G28</f>
        <v>2281.3908</v>
      </c>
      <c r="K28" s="22" t="n">
        <f aca="false">F28*H28</f>
        <v>3802.318</v>
      </c>
      <c r="L28" s="22" t="n">
        <f aca="false">F28*I28</f>
        <v>10056.6544</v>
      </c>
      <c r="M28" s="5" t="s">
        <v>431</v>
      </c>
    </row>
    <row r="29" customFormat="false" ht="15" hidden="false" customHeight="false" outlineLevel="0" collapsed="false">
      <c r="A29" s="5" t="s">
        <v>409</v>
      </c>
      <c r="B29" s="5" t="s">
        <v>319</v>
      </c>
      <c r="C29" s="5" t="s">
        <v>186</v>
      </c>
      <c r="D29" s="5" t="s">
        <v>320</v>
      </c>
      <c r="E29" s="5" t="s">
        <v>321</v>
      </c>
      <c r="F29" s="21" t="n">
        <v>2.83</v>
      </c>
      <c r="G29" s="21" t="n">
        <v>2309.07</v>
      </c>
      <c r="H29" s="21" t="n">
        <v>3848.45</v>
      </c>
      <c r="I29" s="21" t="n">
        <v>10178.76</v>
      </c>
      <c r="J29" s="22" t="n">
        <f aca="false">F29*G29</f>
        <v>6534.6681</v>
      </c>
      <c r="K29" s="22" t="n">
        <f aca="false">F29*H29</f>
        <v>10891.1135</v>
      </c>
      <c r="L29" s="22" t="n">
        <f aca="false">F29*I29</f>
        <v>28805.8908</v>
      </c>
      <c r="M29" s="5" t="s">
        <v>432</v>
      </c>
    </row>
    <row r="30" customFormat="false" ht="15" hidden="false" customHeight="false" outlineLevel="0" collapsed="false">
      <c r="A30" s="5" t="s">
        <v>577</v>
      </c>
      <c r="B30" s="5" t="s">
        <v>511</v>
      </c>
      <c r="C30" s="5" t="s">
        <v>186</v>
      </c>
      <c r="D30" s="5" t="s">
        <v>512</v>
      </c>
      <c r="E30" s="5" t="s">
        <v>188</v>
      </c>
      <c r="F30" s="21" t="n">
        <v>3.35</v>
      </c>
      <c r="G30" s="21" t="n">
        <v>3000</v>
      </c>
      <c r="H30" s="21" t="n">
        <v>6000</v>
      </c>
      <c r="I30" s="21" t="n">
        <v>11200</v>
      </c>
      <c r="J30" s="22" t="n">
        <f aca="false">F30*G30</f>
        <v>10050</v>
      </c>
      <c r="K30" s="22" t="n">
        <f aca="false">F30*H30</f>
        <v>20100</v>
      </c>
      <c r="L30" s="22" t="n">
        <f aca="false">F30*I30</f>
        <v>37520</v>
      </c>
      <c r="M30" s="5" t="s">
        <v>578</v>
      </c>
    </row>
    <row r="31" customFormat="false" ht="15" hidden="false" customHeight="false" outlineLevel="0" collapsed="false">
      <c r="A31" s="5" t="s">
        <v>577</v>
      </c>
      <c r="B31" s="5" t="s">
        <v>514</v>
      </c>
      <c r="C31" s="5" t="s">
        <v>186</v>
      </c>
      <c r="D31" s="5" t="s">
        <v>515</v>
      </c>
      <c r="E31" s="5" t="s">
        <v>317</v>
      </c>
      <c r="F31" s="21" t="n">
        <v>216.4</v>
      </c>
      <c r="G31" s="21" t="n">
        <v>450</v>
      </c>
      <c r="H31" s="21" t="n">
        <v>0</v>
      </c>
      <c r="I31" s="21" t="n">
        <v>0</v>
      </c>
      <c r="J31" s="22" t="n">
        <f aca="false">F31*G31</f>
        <v>97380</v>
      </c>
      <c r="K31" s="22" t="n">
        <f aca="false">F31*H31</f>
        <v>0</v>
      </c>
      <c r="L31" s="22" t="n">
        <f aca="false">F31*I31</f>
        <v>0</v>
      </c>
      <c r="M31" s="5" t="s">
        <v>579</v>
      </c>
    </row>
    <row r="32" customFormat="false" ht="15" hidden="false" customHeight="false" outlineLevel="0" collapsed="false">
      <c r="A32" s="5" t="s">
        <v>577</v>
      </c>
      <c r="B32" s="5" t="s">
        <v>319</v>
      </c>
      <c r="C32" s="5" t="s">
        <v>186</v>
      </c>
      <c r="D32" s="5" t="s">
        <v>320</v>
      </c>
      <c r="E32" s="5" t="s">
        <v>321</v>
      </c>
      <c r="F32" s="21" t="n">
        <v>2.83</v>
      </c>
      <c r="G32" s="21" t="n">
        <v>9000</v>
      </c>
      <c r="H32" s="21" t="n">
        <v>24000</v>
      </c>
      <c r="I32" s="21" t="n">
        <v>0</v>
      </c>
      <c r="J32" s="22" t="n">
        <f aca="false">F32*G32</f>
        <v>25470</v>
      </c>
      <c r="K32" s="22" t="n">
        <f aca="false">F32*H32</f>
        <v>67920</v>
      </c>
      <c r="L32" s="22" t="n">
        <f aca="false">F32*I32</f>
        <v>0</v>
      </c>
      <c r="M32" s="5" t="s">
        <v>580</v>
      </c>
    </row>
    <row r="33" customFormat="false" ht="15" hidden="false" customHeight="false" outlineLevel="0" collapsed="false">
      <c r="A33" s="5" t="s">
        <v>577</v>
      </c>
      <c r="B33" s="5" t="s">
        <v>581</v>
      </c>
      <c r="C33" s="5" t="s">
        <v>186</v>
      </c>
      <c r="D33" s="5" t="s">
        <v>582</v>
      </c>
      <c r="E33" s="5" t="s">
        <v>317</v>
      </c>
      <c r="F33" s="21" t="n">
        <v>1620.91</v>
      </c>
      <c r="G33" s="21" t="n">
        <v>120</v>
      </c>
      <c r="H33" s="21" t="n">
        <v>0</v>
      </c>
      <c r="I33" s="21" t="n">
        <v>0</v>
      </c>
      <c r="J33" s="22" t="n">
        <f aca="false">F33*G33</f>
        <v>194509.2</v>
      </c>
      <c r="K33" s="22" t="n">
        <f aca="false">F33*H33</f>
        <v>0</v>
      </c>
      <c r="L33" s="22" t="n">
        <f aca="false">F33*I33</f>
        <v>0</v>
      </c>
      <c r="M33" s="5" t="s">
        <v>583</v>
      </c>
    </row>
    <row r="34" customFormat="false" ht="15" hidden="false" customHeight="false" outlineLevel="0" collapsed="false">
      <c r="A34" s="5" t="s">
        <v>577</v>
      </c>
      <c r="B34" s="5" t="s">
        <v>319</v>
      </c>
      <c r="C34" s="5" t="s">
        <v>186</v>
      </c>
      <c r="D34" s="5" t="s">
        <v>320</v>
      </c>
      <c r="E34" s="5" t="s">
        <v>321</v>
      </c>
      <c r="F34" s="21" t="n">
        <v>2.83</v>
      </c>
      <c r="G34" s="21" t="n">
        <v>3600</v>
      </c>
      <c r="H34" s="21" t="n">
        <v>9000</v>
      </c>
      <c r="I34" s="21" t="n">
        <v>0</v>
      </c>
      <c r="J34" s="22" t="n">
        <f aca="false">F34*G34</f>
        <v>10188</v>
      </c>
      <c r="K34" s="22" t="n">
        <f aca="false">F34*H34</f>
        <v>25470</v>
      </c>
      <c r="L34" s="22" t="n">
        <f aca="false">F34*I34</f>
        <v>0</v>
      </c>
      <c r="M34" s="5" t="s">
        <v>584</v>
      </c>
    </row>
    <row r="35" customFormat="false" ht="15" hidden="false" customHeight="false" outlineLevel="0" collapsed="false">
      <c r="A35" s="5" t="s">
        <v>585</v>
      </c>
      <c r="B35" s="5" t="s">
        <v>586</v>
      </c>
      <c r="C35" s="5" t="s">
        <v>186</v>
      </c>
      <c r="D35" s="5" t="s">
        <v>587</v>
      </c>
      <c r="E35" s="5" t="s">
        <v>194</v>
      </c>
      <c r="F35" s="21" t="n">
        <v>42.52</v>
      </c>
      <c r="G35" s="21" t="n">
        <v>1200</v>
      </c>
      <c r="H35" s="21" t="n">
        <v>2000</v>
      </c>
      <c r="I35" s="21" t="n">
        <v>3200</v>
      </c>
      <c r="J35" s="22" t="n">
        <f aca="false">F35*G35</f>
        <v>51024</v>
      </c>
      <c r="K35" s="22" t="n">
        <f aca="false">F35*H35</f>
        <v>85040</v>
      </c>
      <c r="L35" s="22" t="n">
        <f aca="false">F35*I35</f>
        <v>136064</v>
      </c>
      <c r="M35" s="5" t="s">
        <v>588</v>
      </c>
    </row>
    <row r="36" customFormat="false" ht="15" hidden="false" customHeight="false" outlineLevel="0" collapsed="false">
      <c r="A36" s="5" t="s">
        <v>585</v>
      </c>
      <c r="B36" s="5" t="s">
        <v>589</v>
      </c>
      <c r="C36" s="5" t="s">
        <v>186</v>
      </c>
      <c r="D36" s="5" t="s">
        <v>590</v>
      </c>
      <c r="E36" s="5" t="s">
        <v>194</v>
      </c>
      <c r="F36" s="21" t="n">
        <v>41.61</v>
      </c>
      <c r="G36" s="21" t="n">
        <v>1200</v>
      </c>
      <c r="H36" s="21" t="n">
        <v>2000</v>
      </c>
      <c r="I36" s="21" t="n">
        <v>3200</v>
      </c>
      <c r="J36" s="22" t="n">
        <f aca="false">F36*G36</f>
        <v>49932</v>
      </c>
      <c r="K36" s="22" t="n">
        <f aca="false">F36*H36</f>
        <v>83220</v>
      </c>
      <c r="L36" s="22" t="n">
        <f aca="false">F36*I36</f>
        <v>133152</v>
      </c>
      <c r="M36" s="5" t="s">
        <v>591</v>
      </c>
    </row>
    <row r="37" customFormat="false" ht="15" hidden="false" customHeight="false" outlineLevel="0" collapsed="false">
      <c r="A37" s="5" t="s">
        <v>585</v>
      </c>
      <c r="B37" s="5" t="s">
        <v>367</v>
      </c>
      <c r="C37" s="5" t="s">
        <v>186</v>
      </c>
      <c r="D37" s="5" t="s">
        <v>368</v>
      </c>
      <c r="E37" s="5" t="s">
        <v>188</v>
      </c>
      <c r="F37" s="21" t="n">
        <v>91.17</v>
      </c>
      <c r="G37" s="21" t="n">
        <v>1440</v>
      </c>
      <c r="H37" s="21" t="n">
        <v>3000</v>
      </c>
      <c r="I37" s="21" t="n">
        <v>6400</v>
      </c>
      <c r="J37" s="22" t="n">
        <f aca="false">F37*G37</f>
        <v>131284.8</v>
      </c>
      <c r="K37" s="22" t="n">
        <f aca="false">F37*H37</f>
        <v>273510</v>
      </c>
      <c r="L37" s="22" t="n">
        <f aca="false">F37*I37</f>
        <v>583488</v>
      </c>
      <c r="M37" s="5" t="s">
        <v>592</v>
      </c>
    </row>
    <row r="38" customFormat="false" ht="15" hidden="false" customHeight="false" outlineLevel="0" collapsed="false">
      <c r="A38" s="5" t="s">
        <v>585</v>
      </c>
      <c r="B38" s="5" t="s">
        <v>593</v>
      </c>
      <c r="C38" s="5" t="s">
        <v>186</v>
      </c>
      <c r="D38" s="5" t="s">
        <v>594</v>
      </c>
      <c r="E38" s="5" t="s">
        <v>277</v>
      </c>
      <c r="F38" s="21" t="n">
        <v>898.57</v>
      </c>
      <c r="G38" s="21" t="n">
        <v>24</v>
      </c>
      <c r="H38" s="21" t="n">
        <v>40</v>
      </c>
      <c r="I38" s="21" t="n">
        <v>64</v>
      </c>
      <c r="J38" s="22" t="n">
        <f aca="false">F38*G38</f>
        <v>21565.68</v>
      </c>
      <c r="K38" s="22" t="n">
        <f aca="false">F38*H38</f>
        <v>35942.8</v>
      </c>
      <c r="L38" s="22" t="n">
        <f aca="false">F38*I38</f>
        <v>57508.48</v>
      </c>
      <c r="M38" s="5" t="s">
        <v>595</v>
      </c>
    </row>
    <row r="39" customFormat="false" ht="15" hidden="false" customHeight="false" outlineLevel="0" collapsed="false">
      <c r="A39" s="5" t="s">
        <v>596</v>
      </c>
      <c r="B39" s="5" t="s">
        <v>597</v>
      </c>
      <c r="C39" s="5" t="s">
        <v>186</v>
      </c>
      <c r="D39" s="5" t="s">
        <v>598</v>
      </c>
      <c r="E39" s="5" t="s">
        <v>188</v>
      </c>
      <c r="F39" s="21" t="n">
        <v>29.88</v>
      </c>
      <c r="G39" s="21" t="n">
        <v>72</v>
      </c>
      <c r="H39" s="21" t="n">
        <v>120</v>
      </c>
      <c r="I39" s="21" t="n">
        <v>192</v>
      </c>
      <c r="J39" s="22" t="n">
        <f aca="false">F39*G39</f>
        <v>2151.36</v>
      </c>
      <c r="K39" s="22" t="n">
        <f aca="false">F39*H39</f>
        <v>3585.6</v>
      </c>
      <c r="L39" s="22" t="n">
        <f aca="false">F39*I39</f>
        <v>5736.96</v>
      </c>
      <c r="M39" s="5" t="s">
        <v>599</v>
      </c>
    </row>
    <row r="40" customFormat="false" ht="15" hidden="false" customHeight="false" outlineLevel="0" collapsed="false">
      <c r="A40" s="5" t="s">
        <v>837</v>
      </c>
      <c r="B40" s="5" t="s">
        <v>838</v>
      </c>
      <c r="C40" s="5" t="s">
        <v>186</v>
      </c>
      <c r="D40" s="5" t="s">
        <v>839</v>
      </c>
      <c r="E40" s="5" t="s">
        <v>317</v>
      </c>
      <c r="F40" s="21" t="n">
        <v>7.5</v>
      </c>
      <c r="G40" s="21" t="n">
        <v>360</v>
      </c>
      <c r="H40" s="21" t="n">
        <v>600</v>
      </c>
      <c r="I40" s="21" t="n">
        <v>960</v>
      </c>
      <c r="J40" s="22" t="n">
        <f aca="false">F40*G40</f>
        <v>2700</v>
      </c>
      <c r="K40" s="22" t="n">
        <f aca="false">F40*H40</f>
        <v>4500</v>
      </c>
      <c r="L40" s="22" t="n">
        <f aca="false">F40*I40</f>
        <v>7200</v>
      </c>
      <c r="M40" s="5" t="s">
        <v>840</v>
      </c>
    </row>
    <row r="41" customFormat="false" ht="15" hidden="false" customHeight="false" outlineLevel="0" collapsed="false">
      <c r="A41" s="5" t="s">
        <v>837</v>
      </c>
      <c r="B41" s="5" t="s">
        <v>841</v>
      </c>
      <c r="C41" s="5" t="s">
        <v>192</v>
      </c>
      <c r="D41" s="5" t="s">
        <v>842</v>
      </c>
      <c r="E41" s="5" t="s">
        <v>194</v>
      </c>
      <c r="F41" s="21" t="n">
        <v>13.65</v>
      </c>
      <c r="G41" s="21" t="n">
        <v>600</v>
      </c>
      <c r="H41" s="21" t="n">
        <v>1000</v>
      </c>
      <c r="I41" s="21" t="n">
        <v>1600</v>
      </c>
      <c r="J41" s="22" t="n">
        <f aca="false">F41*G41</f>
        <v>8190</v>
      </c>
      <c r="K41" s="22" t="n">
        <f aca="false">F41*H41</f>
        <v>13650</v>
      </c>
      <c r="L41" s="22" t="n">
        <f aca="false">F41*I41</f>
        <v>21840</v>
      </c>
      <c r="M41" s="5" t="s">
        <v>843</v>
      </c>
    </row>
    <row r="42" customFormat="false" ht="15" hidden="false" customHeight="false" outlineLevel="0" collapsed="false">
      <c r="A42" s="5" t="s">
        <v>837</v>
      </c>
      <c r="B42" s="5" t="s">
        <v>844</v>
      </c>
      <c r="C42" s="5" t="s">
        <v>186</v>
      </c>
      <c r="D42" s="5" t="s">
        <v>845</v>
      </c>
      <c r="E42" s="5" t="s">
        <v>194</v>
      </c>
      <c r="F42" s="21" t="n">
        <v>3.09</v>
      </c>
      <c r="G42" s="21" t="n">
        <v>600</v>
      </c>
      <c r="H42" s="21" t="n">
        <v>1000</v>
      </c>
      <c r="I42" s="21" t="n">
        <v>1600</v>
      </c>
      <c r="J42" s="22" t="n">
        <f aca="false">F42*G42</f>
        <v>1854</v>
      </c>
      <c r="K42" s="22" t="n">
        <f aca="false">F42*H42</f>
        <v>3090</v>
      </c>
      <c r="L42" s="22" t="n">
        <f aca="false">F42*I42</f>
        <v>4944</v>
      </c>
      <c r="M42" s="5" t="s">
        <v>846</v>
      </c>
    </row>
    <row r="43" customFormat="false" ht="15" hidden="false" customHeight="false" outlineLevel="0" collapsed="false">
      <c r="A43" s="5" t="s">
        <v>837</v>
      </c>
      <c r="B43" s="5" t="s">
        <v>847</v>
      </c>
      <c r="C43" s="5" t="s">
        <v>186</v>
      </c>
      <c r="D43" s="5" t="s">
        <v>848</v>
      </c>
      <c r="E43" s="5" t="s">
        <v>317</v>
      </c>
      <c r="F43" s="21" t="n">
        <v>23.26</v>
      </c>
      <c r="G43" s="21" t="n">
        <v>342</v>
      </c>
      <c r="H43" s="21" t="n">
        <v>570</v>
      </c>
      <c r="I43" s="21" t="n">
        <v>912</v>
      </c>
      <c r="J43" s="22" t="n">
        <f aca="false">F43*G43</f>
        <v>7954.92</v>
      </c>
      <c r="K43" s="22" t="n">
        <f aca="false">F43*H43</f>
        <v>13258.2</v>
      </c>
      <c r="L43" s="22" t="n">
        <f aca="false">F43*I43</f>
        <v>21213.12</v>
      </c>
      <c r="M43" s="5" t="s">
        <v>849</v>
      </c>
    </row>
    <row r="44" customFormat="false" ht="15" hidden="false" customHeight="false" outlineLevel="0" collapsed="false">
      <c r="A44" s="5" t="s">
        <v>850</v>
      </c>
      <c r="B44" s="5" t="s">
        <v>838</v>
      </c>
      <c r="C44" s="5" t="s">
        <v>186</v>
      </c>
      <c r="D44" s="5" t="s">
        <v>839</v>
      </c>
      <c r="E44" s="5" t="s">
        <v>317</v>
      </c>
      <c r="F44" s="21" t="n">
        <v>7.5</v>
      </c>
      <c r="G44" s="21" t="n">
        <v>720</v>
      </c>
      <c r="H44" s="21" t="n">
        <v>1200</v>
      </c>
      <c r="I44" s="21" t="n">
        <v>1920</v>
      </c>
      <c r="J44" s="22" t="n">
        <f aca="false">F44*G44</f>
        <v>5400</v>
      </c>
      <c r="K44" s="22" t="n">
        <f aca="false">F44*H44</f>
        <v>9000</v>
      </c>
      <c r="L44" s="22" t="n">
        <f aca="false">F44*I44</f>
        <v>14400</v>
      </c>
      <c r="M44" s="5" t="s">
        <v>851</v>
      </c>
    </row>
    <row r="45" customFormat="false" ht="15" hidden="false" customHeight="false" outlineLevel="0" collapsed="false">
      <c r="A45" s="5" t="s">
        <v>850</v>
      </c>
      <c r="B45" s="5" t="s">
        <v>852</v>
      </c>
      <c r="C45" s="5" t="s">
        <v>186</v>
      </c>
      <c r="D45" s="5" t="s">
        <v>853</v>
      </c>
      <c r="E45" s="5" t="s">
        <v>194</v>
      </c>
      <c r="F45" s="21" t="n">
        <v>88.16</v>
      </c>
      <c r="G45" s="21" t="n">
        <v>600</v>
      </c>
      <c r="H45" s="21" t="n">
        <v>1000</v>
      </c>
      <c r="I45" s="21" t="n">
        <v>1600</v>
      </c>
      <c r="J45" s="22" t="n">
        <f aca="false">F45*G45</f>
        <v>52896</v>
      </c>
      <c r="K45" s="22" t="n">
        <f aca="false">F45*H45</f>
        <v>88160</v>
      </c>
      <c r="L45" s="22" t="n">
        <f aca="false">F45*I45</f>
        <v>141056</v>
      </c>
      <c r="M45" s="5" t="s">
        <v>854</v>
      </c>
    </row>
    <row r="46" customFormat="false" ht="15" hidden="false" customHeight="false" outlineLevel="0" collapsed="false">
      <c r="A46" s="5" t="s">
        <v>850</v>
      </c>
      <c r="B46" s="5" t="s">
        <v>855</v>
      </c>
      <c r="C46" s="5" t="s">
        <v>186</v>
      </c>
      <c r="D46" s="5" t="s">
        <v>856</v>
      </c>
      <c r="E46" s="5" t="s">
        <v>277</v>
      </c>
      <c r="F46" s="21" t="n">
        <v>1182.15</v>
      </c>
      <c r="G46" s="21" t="n">
        <v>11</v>
      </c>
      <c r="H46" s="21" t="n">
        <v>18</v>
      </c>
      <c r="I46" s="21" t="n">
        <v>28</v>
      </c>
      <c r="J46" s="22" t="n">
        <f aca="false">F46*G46</f>
        <v>13003.65</v>
      </c>
      <c r="K46" s="22" t="n">
        <f aca="false">F46*H46</f>
        <v>21278.7</v>
      </c>
      <c r="L46" s="22" t="n">
        <f aca="false">F46*I46</f>
        <v>33100.2</v>
      </c>
      <c r="M46" s="5" t="s">
        <v>857</v>
      </c>
    </row>
    <row r="47" customFormat="false" ht="15" hidden="false" customHeight="false" outlineLevel="0" collapsed="false">
      <c r="A47" s="5" t="s">
        <v>850</v>
      </c>
      <c r="B47" s="5" t="s">
        <v>847</v>
      </c>
      <c r="C47" s="5" t="s">
        <v>186</v>
      </c>
      <c r="D47" s="5" t="s">
        <v>848</v>
      </c>
      <c r="E47" s="5" t="s">
        <v>317</v>
      </c>
      <c r="F47" s="21" t="n">
        <v>23.26</v>
      </c>
      <c r="G47" s="21" t="n">
        <v>684</v>
      </c>
      <c r="H47" s="21" t="n">
        <v>1140</v>
      </c>
      <c r="I47" s="21" t="n">
        <v>1824</v>
      </c>
      <c r="J47" s="22" t="n">
        <f aca="false">F47*G47</f>
        <v>15909.84</v>
      </c>
      <c r="K47" s="22" t="n">
        <f aca="false">F47*H47</f>
        <v>26516.4</v>
      </c>
      <c r="L47" s="22" t="n">
        <f aca="false">F47*I47</f>
        <v>42426.24</v>
      </c>
      <c r="M47" s="5" t="s">
        <v>849</v>
      </c>
    </row>
    <row r="48" customFormat="false" ht="15" hidden="false" customHeight="false" outlineLevel="0" collapsed="false">
      <c r="A48" s="5" t="s">
        <v>858</v>
      </c>
      <c r="B48" s="5" t="s">
        <v>859</v>
      </c>
      <c r="C48" s="5" t="s">
        <v>186</v>
      </c>
      <c r="D48" s="5" t="s">
        <v>860</v>
      </c>
      <c r="E48" s="5" t="s">
        <v>277</v>
      </c>
      <c r="F48" s="21" t="n">
        <v>290.89</v>
      </c>
      <c r="G48" s="21" t="n">
        <v>18</v>
      </c>
      <c r="H48" s="21" t="n">
        <v>29</v>
      </c>
      <c r="I48" s="21" t="n">
        <v>46</v>
      </c>
      <c r="J48" s="22" t="n">
        <f aca="false">F48*G48</f>
        <v>5236.02</v>
      </c>
      <c r="K48" s="22" t="n">
        <f aca="false">F48*H48</f>
        <v>8435.81</v>
      </c>
      <c r="L48" s="22" t="n">
        <f aca="false">F48*I48</f>
        <v>13380.94</v>
      </c>
      <c r="M48" s="5" t="s">
        <v>861</v>
      </c>
    </row>
    <row r="49" customFormat="false" ht="15" hidden="false" customHeight="false" outlineLevel="0" collapsed="false">
      <c r="A49" s="5" t="s">
        <v>858</v>
      </c>
      <c r="B49" s="5" t="s">
        <v>862</v>
      </c>
      <c r="C49" s="5" t="s">
        <v>186</v>
      </c>
      <c r="D49" s="5" t="s">
        <v>863</v>
      </c>
      <c r="E49" s="5" t="s">
        <v>277</v>
      </c>
      <c r="F49" s="21" t="n">
        <v>150.79</v>
      </c>
      <c r="G49" s="21" t="n">
        <v>18</v>
      </c>
      <c r="H49" s="21" t="n">
        <v>29</v>
      </c>
      <c r="I49" s="21" t="n">
        <v>46</v>
      </c>
      <c r="J49" s="22" t="n">
        <f aca="false">F49*G49</f>
        <v>2714.22</v>
      </c>
      <c r="K49" s="22" t="n">
        <f aca="false">F49*H49</f>
        <v>4372.91</v>
      </c>
      <c r="L49" s="22" t="n">
        <f aca="false">F49*I49</f>
        <v>6936.34</v>
      </c>
      <c r="M49" s="5" t="s">
        <v>864</v>
      </c>
    </row>
    <row r="50" customFormat="false" ht="15" hidden="false" customHeight="false" outlineLevel="0" collapsed="false">
      <c r="A50" s="5" t="s">
        <v>409</v>
      </c>
      <c r="B50" s="5" t="s">
        <v>410</v>
      </c>
      <c r="C50" s="5" t="s">
        <v>186</v>
      </c>
      <c r="D50" s="5" t="s">
        <v>411</v>
      </c>
      <c r="E50" s="5" t="s">
        <v>317</v>
      </c>
      <c r="F50" s="21" t="n">
        <v>10.58</v>
      </c>
      <c r="G50" s="21" t="n">
        <v>0</v>
      </c>
      <c r="H50" s="21" t="n">
        <v>1920</v>
      </c>
      <c r="I50" s="21" t="n">
        <v>0</v>
      </c>
      <c r="J50" s="22" t="n">
        <f aca="false">F50*G50</f>
        <v>0</v>
      </c>
      <c r="K50" s="22" t="n">
        <f aca="false">F50*H50</f>
        <v>20313.6</v>
      </c>
      <c r="L50" s="22" t="n">
        <f aca="false">F50*I50</f>
        <v>0</v>
      </c>
      <c r="M50" s="5" t="s">
        <v>865</v>
      </c>
    </row>
    <row r="51" customFormat="false" ht="15" hidden="false" customHeight="false" outlineLevel="0" collapsed="false">
      <c r="A51" s="5" t="s">
        <v>577</v>
      </c>
      <c r="B51" s="5" t="s">
        <v>514</v>
      </c>
      <c r="C51" s="5" t="s">
        <v>186</v>
      </c>
      <c r="D51" s="5" t="s">
        <v>515</v>
      </c>
      <c r="E51" s="5" t="s">
        <v>317</v>
      </c>
      <c r="F51" s="21" t="n">
        <v>216.4</v>
      </c>
      <c r="G51" s="21" t="n">
        <v>0</v>
      </c>
      <c r="H51" s="21" t="n">
        <v>1200</v>
      </c>
      <c r="I51" s="21" t="n">
        <v>0</v>
      </c>
      <c r="J51" s="22" t="n">
        <f aca="false">F51*G51</f>
        <v>0</v>
      </c>
      <c r="K51" s="22" t="n">
        <f aca="false">F51*H51</f>
        <v>259680</v>
      </c>
      <c r="L51" s="22" t="n">
        <f aca="false">F51*I51</f>
        <v>0</v>
      </c>
      <c r="M51" s="5" t="s">
        <v>600</v>
      </c>
    </row>
    <row r="52" customFormat="false" ht="15" hidden="false" customHeight="false" outlineLevel="0" collapsed="false">
      <c r="A52" s="5" t="s">
        <v>577</v>
      </c>
      <c r="B52" s="5" t="s">
        <v>581</v>
      </c>
      <c r="C52" s="5" t="s">
        <v>186</v>
      </c>
      <c r="D52" s="5" t="s">
        <v>582</v>
      </c>
      <c r="E52" s="5" t="s">
        <v>317</v>
      </c>
      <c r="F52" s="21" t="n">
        <v>1620.91</v>
      </c>
      <c r="G52" s="21" t="n">
        <v>0</v>
      </c>
      <c r="H52" s="21" t="n">
        <v>300</v>
      </c>
      <c r="I52" s="21" t="n">
        <v>560</v>
      </c>
      <c r="J52" s="22" t="n">
        <f aca="false">F52*G52</f>
        <v>0</v>
      </c>
      <c r="K52" s="22" t="n">
        <f aca="false">F52*H52</f>
        <v>486273</v>
      </c>
      <c r="L52" s="22" t="n">
        <f aca="false">F52*I52</f>
        <v>907709.6</v>
      </c>
      <c r="M52" s="5" t="s">
        <v>601</v>
      </c>
    </row>
    <row r="53" customFormat="false" ht="15" hidden="false" customHeight="false" outlineLevel="0" collapsed="false">
      <c r="A53" s="5" t="s">
        <v>409</v>
      </c>
      <c r="B53" s="5" t="s">
        <v>410</v>
      </c>
      <c r="C53" s="5" t="s">
        <v>186</v>
      </c>
      <c r="D53" s="5" t="s">
        <v>411</v>
      </c>
      <c r="E53" s="5" t="s">
        <v>317</v>
      </c>
      <c r="F53" s="21" t="n">
        <v>10.58</v>
      </c>
      <c r="G53" s="21" t="n">
        <v>0</v>
      </c>
      <c r="H53" s="21" t="n">
        <v>0</v>
      </c>
      <c r="I53" s="21" t="n">
        <v>4032</v>
      </c>
      <c r="J53" s="22" t="n">
        <f aca="false">F53*G53</f>
        <v>0</v>
      </c>
      <c r="K53" s="22" t="n">
        <f aca="false">F53*H53</f>
        <v>0</v>
      </c>
      <c r="L53" s="22" t="n">
        <f aca="false">F53*I53</f>
        <v>42658.56</v>
      </c>
      <c r="M53" s="5" t="s">
        <v>412</v>
      </c>
    </row>
    <row r="54" customFormat="false" ht="15" hidden="false" customHeight="false" outlineLevel="0" collapsed="false">
      <c r="A54" s="5" t="s">
        <v>409</v>
      </c>
      <c r="B54" s="5" t="s">
        <v>413</v>
      </c>
      <c r="C54" s="5" t="s">
        <v>186</v>
      </c>
      <c r="D54" s="5" t="s">
        <v>414</v>
      </c>
      <c r="E54" s="5" t="s">
        <v>194</v>
      </c>
      <c r="F54" s="21" t="n">
        <v>567.96</v>
      </c>
      <c r="G54" s="21" t="n">
        <v>0</v>
      </c>
      <c r="H54" s="21" t="n">
        <v>0</v>
      </c>
      <c r="I54" s="21" t="n">
        <v>1600</v>
      </c>
      <c r="J54" s="22" t="n">
        <f aca="false">F54*G54</f>
        <v>0</v>
      </c>
      <c r="K54" s="22" t="n">
        <f aca="false">F54*H54</f>
        <v>0</v>
      </c>
      <c r="L54" s="22" t="n">
        <f aca="false">F54*I54</f>
        <v>908736</v>
      </c>
      <c r="M54" s="5" t="s">
        <v>415</v>
      </c>
    </row>
    <row r="55" customFormat="false" ht="15" hidden="false" customHeight="false" outlineLevel="0" collapsed="false">
      <c r="A55" s="5" t="s">
        <v>409</v>
      </c>
      <c r="B55" s="5" t="s">
        <v>419</v>
      </c>
      <c r="C55" s="5" t="s">
        <v>186</v>
      </c>
      <c r="D55" s="5" t="s">
        <v>420</v>
      </c>
      <c r="E55" s="5" t="s">
        <v>277</v>
      </c>
      <c r="F55" s="21" t="n">
        <v>2008.56</v>
      </c>
      <c r="G55" s="21" t="n">
        <v>0</v>
      </c>
      <c r="H55" s="21" t="n">
        <v>0</v>
      </c>
      <c r="I55" s="21" t="n">
        <v>41</v>
      </c>
      <c r="J55" s="22" t="n">
        <f aca="false">F55*G55</f>
        <v>0</v>
      </c>
      <c r="K55" s="22" t="n">
        <f aca="false">F55*H55</f>
        <v>0</v>
      </c>
      <c r="L55" s="22" t="n">
        <f aca="false">F55*I55</f>
        <v>82350.96</v>
      </c>
      <c r="M55" s="5" t="s">
        <v>421</v>
      </c>
    </row>
    <row r="56" customFormat="false" ht="15" hidden="false" customHeight="false" outlineLevel="0" collapsed="false">
      <c r="A56" s="5" t="s">
        <v>409</v>
      </c>
      <c r="B56" s="5" t="s">
        <v>422</v>
      </c>
      <c r="C56" s="5" t="s">
        <v>186</v>
      </c>
      <c r="D56" s="5" t="s">
        <v>423</v>
      </c>
      <c r="E56" s="5" t="s">
        <v>194</v>
      </c>
      <c r="F56" s="21" t="n">
        <v>844.48</v>
      </c>
      <c r="G56" s="21" t="n">
        <v>0</v>
      </c>
      <c r="H56" s="21" t="n">
        <v>0</v>
      </c>
      <c r="I56" s="21" t="n">
        <v>20.5</v>
      </c>
      <c r="J56" s="22" t="n">
        <f aca="false">F56*G56</f>
        <v>0</v>
      </c>
      <c r="K56" s="22" t="n">
        <f aca="false">F56*H56</f>
        <v>0</v>
      </c>
      <c r="L56" s="22" t="n">
        <f aca="false">F56*I56</f>
        <v>17311.84</v>
      </c>
      <c r="M56" s="5" t="s">
        <v>424</v>
      </c>
    </row>
    <row r="57" customFormat="false" ht="15" hidden="false" customHeight="false" outlineLevel="0" collapsed="false">
      <c r="A57" s="5" t="s">
        <v>577</v>
      </c>
      <c r="B57" s="5" t="s">
        <v>514</v>
      </c>
      <c r="C57" s="5" t="s">
        <v>186</v>
      </c>
      <c r="D57" s="5" t="s">
        <v>515</v>
      </c>
      <c r="E57" s="5" t="s">
        <v>317</v>
      </c>
      <c r="F57" s="21" t="n">
        <v>216.4</v>
      </c>
      <c r="G57" s="21" t="n">
        <v>0</v>
      </c>
      <c r="H57" s="21" t="n">
        <v>0</v>
      </c>
      <c r="I57" s="21" t="n">
        <v>3360</v>
      </c>
      <c r="J57" s="22" t="n">
        <f aca="false">F57*G57</f>
        <v>0</v>
      </c>
      <c r="K57" s="22" t="n">
        <f aca="false">F57*H57</f>
        <v>0</v>
      </c>
      <c r="L57" s="22" t="n">
        <f aca="false">F57*I57</f>
        <v>727104</v>
      </c>
      <c r="M57" s="5" t="s">
        <v>602</v>
      </c>
    </row>
    <row r="58" customFormat="false" ht="15" hidden="false" customHeight="false" outlineLevel="0" collapsed="false">
      <c r="A58" s="5" t="s">
        <v>577</v>
      </c>
      <c r="B58" s="5" t="s">
        <v>319</v>
      </c>
      <c r="C58" s="5" t="s">
        <v>186</v>
      </c>
      <c r="D58" s="5" t="s">
        <v>320</v>
      </c>
      <c r="E58" s="5" t="s">
        <v>321</v>
      </c>
      <c r="F58" s="21" t="n">
        <v>2.83</v>
      </c>
      <c r="G58" s="21" t="n">
        <v>0</v>
      </c>
      <c r="H58" s="21" t="n">
        <v>0</v>
      </c>
      <c r="I58" s="21" t="n">
        <v>134400</v>
      </c>
      <c r="J58" s="22" t="n">
        <f aca="false">F58*G58</f>
        <v>0</v>
      </c>
      <c r="K58" s="22" t="n">
        <f aca="false">F58*H58</f>
        <v>0</v>
      </c>
      <c r="L58" s="22" t="n">
        <f aca="false">F58*I58</f>
        <v>380352</v>
      </c>
      <c r="M58" s="5" t="s">
        <v>603</v>
      </c>
    </row>
    <row r="59" customFormat="false" ht="15" hidden="false" customHeight="false" outlineLevel="0" collapsed="false">
      <c r="A59" s="5" t="s">
        <v>577</v>
      </c>
      <c r="B59" s="5" t="s">
        <v>319</v>
      </c>
      <c r="C59" s="5" t="s">
        <v>186</v>
      </c>
      <c r="D59" s="5" t="s">
        <v>320</v>
      </c>
      <c r="E59" s="5" t="s">
        <v>321</v>
      </c>
      <c r="F59" s="21" t="n">
        <v>2.83</v>
      </c>
      <c r="G59" s="21" t="n">
        <v>0</v>
      </c>
      <c r="H59" s="21" t="n">
        <v>0</v>
      </c>
      <c r="I59" s="21" t="n">
        <v>33600</v>
      </c>
      <c r="J59" s="22" t="n">
        <f aca="false">F59*G59</f>
        <v>0</v>
      </c>
      <c r="K59" s="22" t="n">
        <f aca="false">F59*H59</f>
        <v>0</v>
      </c>
      <c r="L59" s="22" t="n">
        <f aca="false">F59*I59</f>
        <v>95088</v>
      </c>
      <c r="M59" s="5" t="s">
        <v>604</v>
      </c>
    </row>
    <row r="60" customFormat="false" ht="15" hidden="false" customHeight="false" outlineLevel="0" collapsed="false">
      <c r="I60" s="7" t="s">
        <v>323</v>
      </c>
      <c r="J60" s="23" t="n">
        <f aca="false">SUM(J19:J59)</f>
        <v>1074122.6523</v>
      </c>
      <c r="K60" s="23" t="n">
        <f aca="false">SUM(K19:K59)</f>
        <v>2138960.3005</v>
      </c>
      <c r="L60" s="23" t="n">
        <f aca="false">SUM(L19:L59)</f>
        <v>4742743.6764</v>
      </c>
    </row>
    <row r="61" customFormat="false" ht="15" hidden="false" customHeight="false" outlineLevel="0" collapsed="false">
      <c r="I61" s="7" t="s">
        <v>324</v>
      </c>
      <c r="J61" s="24" t="n">
        <f aca="false">PARAMETROS!$B$7</f>
        <v>0.196</v>
      </c>
      <c r="K61" s="24" t="n">
        <f aca="false">PARAMETROS!$C$7</f>
        <v>0.2097</v>
      </c>
      <c r="L61" s="24" t="n">
        <f aca="false">PARAMETROS!$D$7</f>
        <v>0.2423</v>
      </c>
    </row>
    <row r="62" customFormat="false" ht="15" hidden="false" customHeight="false" outlineLevel="0" collapsed="false">
      <c r="I62" s="7" t="s">
        <v>325</v>
      </c>
      <c r="J62" s="24" t="n">
        <f aca="false">PARAMETROS!$B$8</f>
        <v>0.05</v>
      </c>
      <c r="K62" s="24" t="n">
        <f aca="false">PARAMETROS!$C$8</f>
        <v>0.1</v>
      </c>
      <c r="L62" s="24" t="n">
        <f aca="false">PARAMETROS!$D$8</f>
        <v>0.15</v>
      </c>
    </row>
    <row r="63" customFormat="false" ht="15" hidden="false" customHeight="false" outlineLevel="0" collapsed="false">
      <c r="I63" s="7" t="s">
        <v>155</v>
      </c>
      <c r="J63" s="25" t="n">
        <f aca="false">PARAMETROS!$B$9</f>
        <v>1</v>
      </c>
      <c r="K63" s="25" t="n">
        <f aca="false">PARAMETROS!$C$9</f>
        <v>1</v>
      </c>
      <c r="L63" s="25" t="n">
        <f aca="false">PARAMETROS!$D$9</f>
        <v>1.1</v>
      </c>
    </row>
    <row r="64" customFormat="false" ht="15" hidden="false" customHeight="false" outlineLevel="0" collapsed="false">
      <c r="I64" s="7" t="s">
        <v>326</v>
      </c>
      <c r="J64" s="8" t="n">
        <f aca="false">J60*(1+J61)*(1+J62)*J63</f>
        <v>1348883.22675834</v>
      </c>
      <c r="K64" s="8" t="n">
        <f aca="false">K60*(1+K61)*(1+K62)*K63</f>
        <v>2846250.30306634</v>
      </c>
      <c r="L64" s="8" t="n">
        <f aca="false">L60*(1+L61)*(1+L62)*L63</f>
        <v>7453266.74352753</v>
      </c>
    </row>
    <row r="66" customFormat="false" ht="15" hidden="false" customHeight="false" outlineLevel="0" collapsed="false">
      <c r="A66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7" topLeftCell="E18" activePane="bottomRight" state="frozen"/>
      <selection pane="topLeft" activeCell="A1" activeCellId="0" sqref="A1"/>
      <selection pane="topRight" activeCell="E1" activeCellId="0" sqref="E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866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114</v>
      </c>
    </row>
    <row r="5" customFormat="false" ht="15" hidden="false" customHeight="false" outlineLevel="0" collapsed="false">
      <c r="A5" s="7" t="s">
        <v>7</v>
      </c>
      <c r="B5" s="10" t="s">
        <v>86</v>
      </c>
    </row>
    <row r="6" customFormat="false" ht="15" hidden="false" customHeight="false" outlineLevel="0" collapsed="false">
      <c r="A6" s="7" t="s">
        <v>6</v>
      </c>
      <c r="B6" s="10" t="s">
        <v>86</v>
      </c>
    </row>
    <row r="7" customFormat="false" ht="15" hidden="false" customHeight="false" outlineLevel="0" collapsed="false">
      <c r="A7" s="7" t="s">
        <v>8</v>
      </c>
      <c r="B7" s="10" t="s">
        <v>59</v>
      </c>
    </row>
    <row r="8" customFormat="false" ht="15" hidden="false" customHeight="false" outlineLevel="0" collapsed="false">
      <c r="A8" s="7" t="s">
        <v>160</v>
      </c>
      <c r="B8" s="10" t="s">
        <v>867</v>
      </c>
    </row>
    <row r="9" customFormat="false" ht="15" hidden="false" customHeight="false" outlineLevel="0" collapsed="false">
      <c r="A9" s="7" t="s">
        <v>9</v>
      </c>
      <c r="B9" s="10" t="s">
        <v>116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868</v>
      </c>
    </row>
    <row r="13" customFormat="false" ht="15" hidden="false" customHeight="false" outlineLevel="0" collapsed="false">
      <c r="B13" s="20" t="s">
        <v>869</v>
      </c>
    </row>
    <row r="14" customFormat="false" ht="15" hidden="false" customHeight="false" outlineLevel="0" collapsed="false">
      <c r="B14" s="20" t="s">
        <v>870</v>
      </c>
    </row>
    <row r="15" customFormat="false" ht="15" hidden="false" customHeight="false" outlineLevel="0" collapsed="false">
      <c r="B15" s="20" t="s">
        <v>871</v>
      </c>
    </row>
    <row r="17" customFormat="false" ht="23.85" hidden="false" customHeight="false" outlineLevel="0" collapsed="false">
      <c r="A17" s="4" t="s">
        <v>171</v>
      </c>
      <c r="B17" s="4" t="s">
        <v>172</v>
      </c>
      <c r="C17" s="4" t="s">
        <v>173</v>
      </c>
      <c r="D17" s="4" t="s">
        <v>174</v>
      </c>
      <c r="E17" s="4" t="s">
        <v>175</v>
      </c>
      <c r="F17" s="4" t="s">
        <v>176</v>
      </c>
      <c r="G17" s="4" t="s">
        <v>177</v>
      </c>
      <c r="H17" s="4" t="s">
        <v>178</v>
      </c>
      <c r="I17" s="4" t="s">
        <v>179</v>
      </c>
      <c r="J17" s="4" t="s">
        <v>180</v>
      </c>
      <c r="K17" s="4" t="s">
        <v>181</v>
      </c>
      <c r="L17" s="4" t="s">
        <v>182</v>
      </c>
      <c r="M17" s="4" t="s">
        <v>183</v>
      </c>
    </row>
    <row r="18" customFormat="false" ht="15" hidden="false" customHeight="false" outlineLevel="0" collapsed="false">
      <c r="A18" s="5" t="s">
        <v>333</v>
      </c>
      <c r="B18" s="5" t="s">
        <v>216</v>
      </c>
      <c r="C18" s="5" t="s">
        <v>186</v>
      </c>
      <c r="D18" s="5" t="s">
        <v>217</v>
      </c>
      <c r="E18" s="5" t="s">
        <v>188</v>
      </c>
      <c r="F18" s="21" t="n">
        <v>454.97</v>
      </c>
      <c r="G18" s="21" t="n">
        <v>6</v>
      </c>
      <c r="H18" s="21" t="n">
        <v>6</v>
      </c>
      <c r="I18" s="21" t="n">
        <v>6</v>
      </c>
      <c r="J18" s="22" t="n">
        <f aca="false">F18*G18</f>
        <v>2729.82</v>
      </c>
      <c r="K18" s="22" t="n">
        <f aca="false">F18*H18</f>
        <v>2729.82</v>
      </c>
      <c r="L18" s="22" t="n">
        <f aca="false">F18*I18</f>
        <v>2729.82</v>
      </c>
      <c r="M18" s="5" t="s">
        <v>218</v>
      </c>
    </row>
    <row r="19" customFormat="false" ht="15" hidden="false" customHeight="false" outlineLevel="0" collapsed="false">
      <c r="A19" s="5" t="s">
        <v>333</v>
      </c>
      <c r="B19" s="5" t="s">
        <v>502</v>
      </c>
      <c r="C19" s="5" t="s">
        <v>186</v>
      </c>
      <c r="D19" s="5" t="s">
        <v>503</v>
      </c>
      <c r="E19" s="5" t="s">
        <v>188</v>
      </c>
      <c r="F19" s="21" t="n">
        <v>0.76</v>
      </c>
      <c r="G19" s="21" t="n">
        <v>780</v>
      </c>
      <c r="H19" s="21" t="n">
        <v>1300</v>
      </c>
      <c r="I19" s="21" t="n">
        <v>1820</v>
      </c>
      <c r="J19" s="22" t="n">
        <f aca="false">F19*G19</f>
        <v>592.8</v>
      </c>
      <c r="K19" s="22" t="n">
        <f aca="false">F19*H19</f>
        <v>988</v>
      </c>
      <c r="L19" s="22" t="n">
        <f aca="false">F19*I19</f>
        <v>1383.2</v>
      </c>
      <c r="M19" s="5" t="s">
        <v>611</v>
      </c>
    </row>
    <row r="20" customFormat="false" ht="15" hidden="false" customHeight="false" outlineLevel="0" collapsed="false">
      <c r="A20" s="5" t="s">
        <v>612</v>
      </c>
      <c r="B20" s="5" t="s">
        <v>613</v>
      </c>
      <c r="C20" s="5" t="s">
        <v>186</v>
      </c>
      <c r="D20" s="5" t="s">
        <v>614</v>
      </c>
      <c r="E20" s="5" t="s">
        <v>194</v>
      </c>
      <c r="F20" s="21" t="n">
        <v>351.86</v>
      </c>
      <c r="G20" s="21" t="n">
        <v>900</v>
      </c>
      <c r="H20" s="21" t="n">
        <v>0</v>
      </c>
      <c r="I20" s="21" t="n">
        <v>0</v>
      </c>
      <c r="J20" s="22" t="n">
        <f aca="false">F20*G20</f>
        <v>316674</v>
      </c>
      <c r="K20" s="22" t="n">
        <f aca="false">F20*H20</f>
        <v>0</v>
      </c>
      <c r="L20" s="22" t="n">
        <f aca="false">F20*I20</f>
        <v>0</v>
      </c>
      <c r="M20" s="5" t="s">
        <v>615</v>
      </c>
    </row>
    <row r="21" customFormat="false" ht="15" hidden="false" customHeight="false" outlineLevel="0" collapsed="false">
      <c r="A21" s="5" t="s">
        <v>612</v>
      </c>
      <c r="B21" s="5" t="s">
        <v>616</v>
      </c>
      <c r="C21" s="5" t="s">
        <v>186</v>
      </c>
      <c r="D21" s="5" t="s">
        <v>617</v>
      </c>
      <c r="E21" s="5" t="s">
        <v>188</v>
      </c>
      <c r="F21" s="21" t="n">
        <v>185.2</v>
      </c>
      <c r="G21" s="21" t="n">
        <v>600</v>
      </c>
      <c r="H21" s="21" t="n">
        <v>1000</v>
      </c>
      <c r="I21" s="21" t="n">
        <v>0</v>
      </c>
      <c r="J21" s="22" t="n">
        <f aca="false">F21*G21</f>
        <v>111120</v>
      </c>
      <c r="K21" s="22" t="n">
        <f aca="false">F21*H21</f>
        <v>185200</v>
      </c>
      <c r="L21" s="22" t="n">
        <f aca="false">F21*I21</f>
        <v>0</v>
      </c>
      <c r="M21" s="5" t="s">
        <v>618</v>
      </c>
    </row>
    <row r="22" customFormat="false" ht="15" hidden="false" customHeight="false" outlineLevel="0" collapsed="false">
      <c r="A22" s="5" t="s">
        <v>619</v>
      </c>
      <c r="B22" s="5" t="s">
        <v>620</v>
      </c>
      <c r="C22" s="5" t="s">
        <v>186</v>
      </c>
      <c r="D22" s="5" t="s">
        <v>621</v>
      </c>
      <c r="E22" s="5" t="s">
        <v>194</v>
      </c>
      <c r="F22" s="21" t="n">
        <v>10.8</v>
      </c>
      <c r="G22" s="21" t="n">
        <v>360</v>
      </c>
      <c r="H22" s="21" t="n">
        <v>600</v>
      </c>
      <c r="I22" s="21" t="n">
        <v>840</v>
      </c>
      <c r="J22" s="22" t="n">
        <f aca="false">F22*G22</f>
        <v>3888</v>
      </c>
      <c r="K22" s="22" t="n">
        <f aca="false">F22*H22</f>
        <v>6480</v>
      </c>
      <c r="L22" s="22" t="n">
        <f aca="false">F22*I22</f>
        <v>9072</v>
      </c>
      <c r="M22" s="5" t="s">
        <v>622</v>
      </c>
    </row>
    <row r="23" customFormat="false" ht="15" hidden="false" customHeight="false" outlineLevel="0" collapsed="false">
      <c r="A23" s="5" t="s">
        <v>619</v>
      </c>
      <c r="B23" s="5" t="s">
        <v>623</v>
      </c>
      <c r="C23" s="5" t="s">
        <v>186</v>
      </c>
      <c r="D23" s="5" t="s">
        <v>624</v>
      </c>
      <c r="E23" s="5" t="s">
        <v>194</v>
      </c>
      <c r="F23" s="21" t="n">
        <v>74.22</v>
      </c>
      <c r="G23" s="21" t="n">
        <v>150</v>
      </c>
      <c r="H23" s="21" t="n">
        <v>250</v>
      </c>
      <c r="I23" s="21" t="n">
        <v>350</v>
      </c>
      <c r="J23" s="22" t="n">
        <f aca="false">F23*G23</f>
        <v>11133</v>
      </c>
      <c r="K23" s="22" t="n">
        <f aca="false">F23*H23</f>
        <v>18555</v>
      </c>
      <c r="L23" s="22" t="n">
        <f aca="false">F23*I23</f>
        <v>25977</v>
      </c>
      <c r="M23" s="5" t="s">
        <v>625</v>
      </c>
    </row>
    <row r="24" customFormat="false" ht="15" hidden="false" customHeight="false" outlineLevel="0" collapsed="false">
      <c r="A24" s="5" t="s">
        <v>619</v>
      </c>
      <c r="B24" s="5" t="s">
        <v>626</v>
      </c>
      <c r="C24" s="5" t="s">
        <v>186</v>
      </c>
      <c r="D24" s="5" t="s">
        <v>627</v>
      </c>
      <c r="E24" s="5" t="s">
        <v>317</v>
      </c>
      <c r="F24" s="21" t="n">
        <v>1827.4</v>
      </c>
      <c r="G24" s="21" t="n">
        <v>7.5</v>
      </c>
      <c r="H24" s="21" t="n">
        <v>12.5</v>
      </c>
      <c r="I24" s="21" t="n">
        <v>17.5</v>
      </c>
      <c r="J24" s="22" t="n">
        <f aca="false">F24*G24</f>
        <v>13705.5</v>
      </c>
      <c r="K24" s="22" t="n">
        <f aca="false">F24*H24</f>
        <v>22842.5</v>
      </c>
      <c r="L24" s="22" t="n">
        <f aca="false">F24*I24</f>
        <v>31979.5</v>
      </c>
      <c r="M24" s="5" t="s">
        <v>628</v>
      </c>
    </row>
    <row r="25" customFormat="false" ht="15" hidden="false" customHeight="false" outlineLevel="0" collapsed="false">
      <c r="A25" s="5" t="s">
        <v>629</v>
      </c>
      <c r="B25" s="5" t="s">
        <v>630</v>
      </c>
      <c r="C25" s="5" t="s">
        <v>186</v>
      </c>
      <c r="D25" s="5" t="s">
        <v>631</v>
      </c>
      <c r="E25" s="5" t="s">
        <v>188</v>
      </c>
      <c r="F25" s="21" t="n">
        <v>15.04</v>
      </c>
      <c r="G25" s="21" t="n">
        <v>180</v>
      </c>
      <c r="H25" s="21" t="n">
        <v>300</v>
      </c>
      <c r="I25" s="21" t="n">
        <v>420</v>
      </c>
      <c r="J25" s="22" t="n">
        <f aca="false">F25*G25</f>
        <v>2707.2</v>
      </c>
      <c r="K25" s="22" t="n">
        <f aca="false">F25*H25</f>
        <v>4512</v>
      </c>
      <c r="L25" s="22" t="n">
        <f aca="false">F25*I25</f>
        <v>6316.8</v>
      </c>
      <c r="M25" s="5" t="s">
        <v>632</v>
      </c>
    </row>
    <row r="26" customFormat="false" ht="15" hidden="false" customHeight="false" outlineLevel="0" collapsed="false">
      <c r="A26" s="5" t="s">
        <v>612</v>
      </c>
      <c r="B26" s="5" t="s">
        <v>633</v>
      </c>
      <c r="C26" s="5" t="s">
        <v>186</v>
      </c>
      <c r="D26" s="5" t="s">
        <v>634</v>
      </c>
      <c r="E26" s="5" t="s">
        <v>194</v>
      </c>
      <c r="F26" s="21" t="n">
        <v>283.12</v>
      </c>
      <c r="G26" s="21" t="n">
        <v>0</v>
      </c>
      <c r="H26" s="21" t="n">
        <v>3555.56</v>
      </c>
      <c r="I26" s="21" t="n">
        <v>0</v>
      </c>
      <c r="J26" s="22" t="n">
        <f aca="false">F26*G26</f>
        <v>0</v>
      </c>
      <c r="K26" s="22" t="n">
        <f aca="false">F26*H26</f>
        <v>1006650.1472</v>
      </c>
      <c r="L26" s="22" t="n">
        <f aca="false">F26*I26</f>
        <v>0</v>
      </c>
      <c r="M26" s="5" t="s">
        <v>635</v>
      </c>
    </row>
    <row r="27" customFormat="false" ht="15" hidden="false" customHeight="false" outlineLevel="0" collapsed="false">
      <c r="A27" s="5" t="s">
        <v>612</v>
      </c>
      <c r="B27" s="5" t="s">
        <v>636</v>
      </c>
      <c r="C27" s="5" t="s">
        <v>186</v>
      </c>
      <c r="D27" s="5" t="s">
        <v>637</v>
      </c>
      <c r="E27" s="5" t="s">
        <v>194</v>
      </c>
      <c r="F27" s="21" t="n">
        <v>254.2</v>
      </c>
      <c r="G27" s="21" t="n">
        <v>0</v>
      </c>
      <c r="H27" s="21" t="n">
        <v>0</v>
      </c>
      <c r="I27" s="21" t="n">
        <v>10752</v>
      </c>
      <c r="J27" s="22" t="n">
        <f aca="false">F27*G27</f>
        <v>0</v>
      </c>
      <c r="K27" s="22" t="n">
        <f aca="false">F27*H27</f>
        <v>0</v>
      </c>
      <c r="L27" s="22" t="n">
        <f aca="false">F27*I27</f>
        <v>2733158.4</v>
      </c>
      <c r="M27" s="5" t="s">
        <v>638</v>
      </c>
    </row>
    <row r="28" customFormat="false" ht="15" hidden="false" customHeight="false" outlineLevel="0" collapsed="false">
      <c r="A28" s="5" t="s">
        <v>612</v>
      </c>
      <c r="B28" s="5" t="s">
        <v>639</v>
      </c>
      <c r="C28" s="5" t="s">
        <v>186</v>
      </c>
      <c r="D28" s="5" t="s">
        <v>640</v>
      </c>
      <c r="E28" s="5" t="s">
        <v>188</v>
      </c>
      <c r="F28" s="21" t="n">
        <v>225.64</v>
      </c>
      <c r="G28" s="21" t="n">
        <v>0</v>
      </c>
      <c r="H28" s="21" t="n">
        <v>0</v>
      </c>
      <c r="I28" s="21" t="n">
        <v>1400</v>
      </c>
      <c r="J28" s="22" t="n">
        <f aca="false">F28*G28</f>
        <v>0</v>
      </c>
      <c r="K28" s="22" t="n">
        <f aca="false">F28*H28</f>
        <v>0</v>
      </c>
      <c r="L28" s="22" t="n">
        <f aca="false">F28*I28</f>
        <v>315896</v>
      </c>
      <c r="M28" s="5" t="s">
        <v>641</v>
      </c>
    </row>
    <row r="29" customFormat="false" ht="15" hidden="false" customHeight="false" outlineLevel="0" collapsed="false">
      <c r="I29" s="7" t="s">
        <v>323</v>
      </c>
      <c r="J29" s="23" t="n">
        <f aca="false">SUM(J18:J28)</f>
        <v>462550.32</v>
      </c>
      <c r="K29" s="23" t="n">
        <f aca="false">SUM(K18:K28)</f>
        <v>1247957.4672</v>
      </c>
      <c r="L29" s="23" t="n">
        <f aca="false">SUM(L18:L28)</f>
        <v>3126512.72</v>
      </c>
    </row>
    <row r="30" customFormat="false" ht="15" hidden="false" customHeight="false" outlineLevel="0" collapsed="false">
      <c r="I30" s="7" t="s">
        <v>324</v>
      </c>
      <c r="J30" s="24" t="n">
        <f aca="false">PARAMETROS!$B$6</f>
        <v>0.2034</v>
      </c>
      <c r="K30" s="24" t="n">
        <f aca="false">PARAMETROS!$C$6</f>
        <v>0.2212</v>
      </c>
      <c r="L30" s="24" t="n">
        <f aca="false">PARAMETROS!$D$6</f>
        <v>0.25</v>
      </c>
    </row>
    <row r="31" customFormat="false" ht="15" hidden="false" customHeight="false" outlineLevel="0" collapsed="false">
      <c r="I31" s="7" t="s">
        <v>325</v>
      </c>
      <c r="J31" s="24" t="n">
        <f aca="false">PARAMETROS!$B$8</f>
        <v>0.05</v>
      </c>
      <c r="K31" s="24" t="n">
        <f aca="false">PARAMETROS!$C$8</f>
        <v>0.1</v>
      </c>
      <c r="L31" s="24" t="n">
        <f aca="false">PARAMETROS!$D$8</f>
        <v>0.15</v>
      </c>
    </row>
    <row r="32" customFormat="false" ht="15" hidden="false" customHeight="false" outlineLevel="0" collapsed="false">
      <c r="I32" s="7" t="s">
        <v>155</v>
      </c>
      <c r="J32" s="25" t="n">
        <f aca="false">PARAMETROS!$B$9</f>
        <v>1</v>
      </c>
      <c r="K32" s="25" t="n">
        <f aca="false">PARAMETROS!$C$9</f>
        <v>1</v>
      </c>
      <c r="L32" s="25" t="n">
        <f aca="false">PARAMETROS!$D$9</f>
        <v>1.1</v>
      </c>
    </row>
    <row r="33" customFormat="false" ht="15" hidden="false" customHeight="false" outlineLevel="0" collapsed="false">
      <c r="I33" s="7" t="s">
        <v>326</v>
      </c>
      <c r="J33" s="8" t="n">
        <f aca="false">J29*(1+J30)*(1+J31)*J32</f>
        <v>584464.7078424</v>
      </c>
      <c r="K33" s="8" t="n">
        <f aca="false">K29*(1+K30)*(1+K31)*K32</f>
        <v>1676406.2248391</v>
      </c>
      <c r="L33" s="8" t="n">
        <f aca="false">L29*(1+L30)*(1+L31)*L32</f>
        <v>4943798.2385</v>
      </c>
    </row>
    <row r="35" customFormat="false" ht="15" hidden="false" customHeight="false" outlineLevel="0" collapsed="false">
      <c r="A35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7" topLeftCell="E18" activePane="bottomRight" state="frozen"/>
      <selection pane="topLeft" activeCell="A1" activeCellId="0" sqref="A1"/>
      <selection pane="topRight" activeCell="E1" activeCellId="0" sqref="E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2" min="10" style="0" width="16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1" t="s">
        <v>872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4</v>
      </c>
      <c r="B4" s="10" t="s">
        <v>118</v>
      </c>
    </row>
    <row r="5" customFormat="false" ht="15" hidden="false" customHeight="false" outlineLevel="0" collapsed="false">
      <c r="A5" s="7" t="s">
        <v>7</v>
      </c>
      <c r="B5" s="10" t="s">
        <v>86</v>
      </c>
    </row>
    <row r="6" customFormat="false" ht="15" hidden="false" customHeight="false" outlineLevel="0" collapsed="false">
      <c r="A6" s="7" t="s">
        <v>6</v>
      </c>
      <c r="B6" s="10" t="s">
        <v>86</v>
      </c>
    </row>
    <row r="7" customFormat="false" ht="15" hidden="false" customHeight="false" outlineLevel="0" collapsed="false">
      <c r="A7" s="7" t="s">
        <v>8</v>
      </c>
      <c r="B7" s="10" t="s">
        <v>18</v>
      </c>
    </row>
    <row r="8" customFormat="false" ht="15" hidden="false" customHeight="false" outlineLevel="0" collapsed="false">
      <c r="A8" s="7" t="s">
        <v>160</v>
      </c>
      <c r="B8" s="10" t="s">
        <v>873</v>
      </c>
    </row>
    <row r="9" customFormat="false" ht="15" hidden="false" customHeight="false" outlineLevel="0" collapsed="false">
      <c r="A9" s="7" t="s">
        <v>9</v>
      </c>
      <c r="B9" s="10" t="s">
        <v>46</v>
      </c>
    </row>
    <row r="10" customFormat="false" ht="15" hidden="false" customHeight="false" outlineLevel="0" collapsed="false">
      <c r="A10" s="7" t="s">
        <v>162</v>
      </c>
      <c r="B10" s="10" t="s">
        <v>163</v>
      </c>
    </row>
    <row r="11" customFormat="false" ht="15" hidden="false" customHeight="false" outlineLevel="0" collapsed="false">
      <c r="A11" s="7" t="s">
        <v>164</v>
      </c>
      <c r="B11" s="10" t="s">
        <v>165</v>
      </c>
    </row>
    <row r="12" customFormat="false" ht="15" hidden="false" customHeight="false" outlineLevel="0" collapsed="false">
      <c r="A12" s="7" t="s">
        <v>166</v>
      </c>
      <c r="B12" s="20" t="s">
        <v>874</v>
      </c>
    </row>
    <row r="13" customFormat="false" ht="15" hidden="false" customHeight="false" outlineLevel="0" collapsed="false">
      <c r="B13" s="20" t="s">
        <v>875</v>
      </c>
    </row>
    <row r="14" customFormat="false" ht="15" hidden="false" customHeight="false" outlineLevel="0" collapsed="false">
      <c r="B14" s="20" t="s">
        <v>556</v>
      </c>
    </row>
    <row r="15" customFormat="false" ht="15" hidden="false" customHeight="false" outlineLevel="0" collapsed="false">
      <c r="B15" s="20" t="s">
        <v>876</v>
      </c>
    </row>
    <row r="17" customFormat="false" ht="23.85" hidden="false" customHeight="false" outlineLevel="0" collapsed="false">
      <c r="A17" s="4" t="s">
        <v>171</v>
      </c>
      <c r="B17" s="4" t="s">
        <v>172</v>
      </c>
      <c r="C17" s="4" t="s">
        <v>173</v>
      </c>
      <c r="D17" s="4" t="s">
        <v>174</v>
      </c>
      <c r="E17" s="4" t="s">
        <v>175</v>
      </c>
      <c r="F17" s="4" t="s">
        <v>176</v>
      </c>
      <c r="G17" s="4" t="s">
        <v>177</v>
      </c>
      <c r="H17" s="4" t="s">
        <v>178</v>
      </c>
      <c r="I17" s="4" t="s">
        <v>179</v>
      </c>
      <c r="J17" s="4" t="s">
        <v>180</v>
      </c>
      <c r="K17" s="4" t="s">
        <v>181</v>
      </c>
      <c r="L17" s="4" t="s">
        <v>182</v>
      </c>
      <c r="M17" s="4" t="s">
        <v>183</v>
      </c>
    </row>
    <row r="18" customFormat="false" ht="15" hidden="false" customHeight="false" outlineLevel="0" collapsed="false">
      <c r="A18" s="5" t="s">
        <v>333</v>
      </c>
      <c r="B18" s="5" t="s">
        <v>216</v>
      </c>
      <c r="C18" s="5" t="s">
        <v>186</v>
      </c>
      <c r="D18" s="5" t="s">
        <v>217</v>
      </c>
      <c r="E18" s="5" t="s">
        <v>188</v>
      </c>
      <c r="F18" s="21" t="n">
        <v>454.97</v>
      </c>
      <c r="G18" s="21" t="n">
        <v>6</v>
      </c>
      <c r="H18" s="21" t="n">
        <v>6</v>
      </c>
      <c r="I18" s="21" t="n">
        <v>6</v>
      </c>
      <c r="J18" s="22" t="n">
        <f aca="false">F18*G18</f>
        <v>2729.82</v>
      </c>
      <c r="K18" s="22" t="n">
        <f aca="false">F18*H18</f>
        <v>2729.82</v>
      </c>
      <c r="L18" s="22" t="n">
        <f aca="false">F18*I18</f>
        <v>2729.82</v>
      </c>
      <c r="M18" s="5" t="s">
        <v>218</v>
      </c>
    </row>
    <row r="19" customFormat="false" ht="15" hidden="false" customHeight="false" outlineLevel="0" collapsed="false">
      <c r="A19" s="5" t="s">
        <v>557</v>
      </c>
      <c r="B19" s="5" t="s">
        <v>220</v>
      </c>
      <c r="C19" s="5" t="s">
        <v>186</v>
      </c>
      <c r="D19" s="5" t="s">
        <v>221</v>
      </c>
      <c r="E19" s="5" t="s">
        <v>188</v>
      </c>
      <c r="F19" s="21" t="n">
        <v>4.43</v>
      </c>
      <c r="G19" s="21" t="n">
        <v>50</v>
      </c>
      <c r="H19" s="21" t="n">
        <v>187.5</v>
      </c>
      <c r="I19" s="21" t="n">
        <v>562.5</v>
      </c>
      <c r="J19" s="22" t="n">
        <f aca="false">F19*G19</f>
        <v>221.5</v>
      </c>
      <c r="K19" s="22" t="n">
        <f aca="false">F19*H19</f>
        <v>830.625</v>
      </c>
      <c r="L19" s="22" t="n">
        <f aca="false">F19*I19</f>
        <v>2491.875</v>
      </c>
      <c r="M19" s="5" t="s">
        <v>222</v>
      </c>
    </row>
    <row r="20" customFormat="false" ht="15" hidden="false" customHeight="false" outlineLevel="0" collapsed="false">
      <c r="A20" s="5" t="s">
        <v>557</v>
      </c>
      <c r="B20" s="5" t="s">
        <v>223</v>
      </c>
      <c r="C20" s="5" t="s">
        <v>186</v>
      </c>
      <c r="D20" s="5" t="s">
        <v>224</v>
      </c>
      <c r="E20" s="5" t="s">
        <v>188</v>
      </c>
      <c r="F20" s="21" t="n">
        <v>9.56</v>
      </c>
      <c r="G20" s="21" t="n">
        <v>25</v>
      </c>
      <c r="H20" s="21" t="n">
        <v>93.75</v>
      </c>
      <c r="I20" s="21" t="n">
        <v>281.25</v>
      </c>
      <c r="J20" s="22" t="n">
        <f aca="false">F20*G20</f>
        <v>239</v>
      </c>
      <c r="K20" s="22" t="n">
        <f aca="false">F20*H20</f>
        <v>896.25</v>
      </c>
      <c r="L20" s="22" t="n">
        <f aca="false">F20*I20</f>
        <v>2688.75</v>
      </c>
      <c r="M20" s="5" t="s">
        <v>225</v>
      </c>
    </row>
    <row r="21" customFormat="false" ht="15" hidden="false" customHeight="false" outlineLevel="0" collapsed="false">
      <c r="A21" s="5" t="s">
        <v>557</v>
      </c>
      <c r="B21" s="5" t="s">
        <v>226</v>
      </c>
      <c r="C21" s="5" t="s">
        <v>186</v>
      </c>
      <c r="D21" s="5" t="s">
        <v>227</v>
      </c>
      <c r="E21" s="5" t="s">
        <v>188</v>
      </c>
      <c r="F21" s="21" t="n">
        <v>2.58</v>
      </c>
      <c r="G21" s="21" t="n">
        <v>40</v>
      </c>
      <c r="H21" s="21" t="n">
        <v>150</v>
      </c>
      <c r="I21" s="21" t="n">
        <v>450</v>
      </c>
      <c r="J21" s="22" t="n">
        <f aca="false">F21*G21</f>
        <v>103.2</v>
      </c>
      <c r="K21" s="22" t="n">
        <f aca="false">F21*H21</f>
        <v>387</v>
      </c>
      <c r="L21" s="22" t="n">
        <f aca="false">F21*I21</f>
        <v>1161</v>
      </c>
      <c r="M21" s="5" t="s">
        <v>228</v>
      </c>
    </row>
    <row r="22" customFormat="false" ht="15" hidden="false" customHeight="false" outlineLevel="0" collapsed="false">
      <c r="A22" s="5" t="s">
        <v>557</v>
      </c>
      <c r="B22" s="5" t="s">
        <v>229</v>
      </c>
      <c r="C22" s="5" t="s">
        <v>186</v>
      </c>
      <c r="D22" s="5" t="s">
        <v>230</v>
      </c>
      <c r="E22" s="5" t="s">
        <v>188</v>
      </c>
      <c r="F22" s="21" t="n">
        <v>10.04</v>
      </c>
      <c r="G22" s="21" t="n">
        <v>20</v>
      </c>
      <c r="H22" s="21" t="n">
        <v>90</v>
      </c>
      <c r="I22" s="21" t="n">
        <v>270</v>
      </c>
      <c r="J22" s="22" t="n">
        <f aca="false">F22*G22</f>
        <v>200.8</v>
      </c>
      <c r="K22" s="22" t="n">
        <f aca="false">F22*H22</f>
        <v>903.6</v>
      </c>
      <c r="L22" s="22" t="n">
        <f aca="false">F22*I22</f>
        <v>2710.8</v>
      </c>
      <c r="M22" s="5" t="s">
        <v>231</v>
      </c>
    </row>
    <row r="23" customFormat="false" ht="15" hidden="false" customHeight="false" outlineLevel="0" collapsed="false">
      <c r="A23" s="5" t="s">
        <v>557</v>
      </c>
      <c r="B23" s="5" t="s">
        <v>232</v>
      </c>
      <c r="C23" s="5" t="s">
        <v>186</v>
      </c>
      <c r="D23" s="5" t="s">
        <v>233</v>
      </c>
      <c r="E23" s="5" t="s">
        <v>188</v>
      </c>
      <c r="F23" s="21" t="n">
        <v>28.42</v>
      </c>
      <c r="G23" s="21" t="n">
        <v>6</v>
      </c>
      <c r="H23" s="21" t="n">
        <v>27</v>
      </c>
      <c r="I23" s="21" t="n">
        <v>81</v>
      </c>
      <c r="J23" s="22" t="n">
        <f aca="false">F23*G23</f>
        <v>170.52</v>
      </c>
      <c r="K23" s="22" t="n">
        <f aca="false">F23*H23</f>
        <v>767.34</v>
      </c>
      <c r="L23" s="22" t="n">
        <f aca="false">F23*I23</f>
        <v>2302.02</v>
      </c>
      <c r="M23" s="5" t="s">
        <v>234</v>
      </c>
    </row>
    <row r="24" customFormat="false" ht="15" hidden="false" customHeight="false" outlineLevel="0" collapsed="false">
      <c r="A24" s="5" t="s">
        <v>557</v>
      </c>
      <c r="B24" s="5" t="s">
        <v>235</v>
      </c>
      <c r="C24" s="5" t="s">
        <v>186</v>
      </c>
      <c r="D24" s="5" t="s">
        <v>236</v>
      </c>
      <c r="E24" s="5" t="s">
        <v>188</v>
      </c>
      <c r="F24" s="21" t="n">
        <v>30.78</v>
      </c>
      <c r="G24" s="21" t="n">
        <v>3</v>
      </c>
      <c r="H24" s="21" t="n">
        <v>13.5</v>
      </c>
      <c r="I24" s="21" t="n">
        <v>40.5</v>
      </c>
      <c r="J24" s="22" t="n">
        <f aca="false">F24*G24</f>
        <v>92.34</v>
      </c>
      <c r="K24" s="22" t="n">
        <f aca="false">F24*H24</f>
        <v>415.53</v>
      </c>
      <c r="L24" s="22" t="n">
        <f aca="false">F24*I24</f>
        <v>1246.59</v>
      </c>
      <c r="M24" s="5" t="s">
        <v>237</v>
      </c>
    </row>
    <row r="25" customFormat="false" ht="15" hidden="false" customHeight="false" outlineLevel="0" collapsed="false">
      <c r="A25" s="5" t="s">
        <v>558</v>
      </c>
      <c r="B25" s="5" t="s">
        <v>239</v>
      </c>
      <c r="C25" s="5" t="s">
        <v>186</v>
      </c>
      <c r="D25" s="5" t="s">
        <v>240</v>
      </c>
      <c r="E25" s="5" t="s">
        <v>188</v>
      </c>
      <c r="F25" s="21" t="n">
        <v>101.54</v>
      </c>
      <c r="G25" s="21" t="n">
        <v>25</v>
      </c>
      <c r="H25" s="21" t="n">
        <v>93.75</v>
      </c>
      <c r="I25" s="21" t="n">
        <v>281.25</v>
      </c>
      <c r="J25" s="22" t="n">
        <f aca="false">F25*G25</f>
        <v>2538.5</v>
      </c>
      <c r="K25" s="22" t="n">
        <f aca="false">F25*H25</f>
        <v>9519.375</v>
      </c>
      <c r="L25" s="22" t="n">
        <f aca="false">F25*I25</f>
        <v>28558.125</v>
      </c>
      <c r="M25" s="5" t="s">
        <v>241</v>
      </c>
    </row>
    <row r="26" customFormat="false" ht="15" hidden="false" customHeight="false" outlineLevel="0" collapsed="false">
      <c r="A26" s="5" t="s">
        <v>558</v>
      </c>
      <c r="B26" s="5" t="s">
        <v>242</v>
      </c>
      <c r="C26" s="5" t="s">
        <v>186</v>
      </c>
      <c r="D26" s="5" t="s">
        <v>243</v>
      </c>
      <c r="E26" s="5" t="s">
        <v>188</v>
      </c>
      <c r="F26" s="21" t="n">
        <v>42.42</v>
      </c>
      <c r="G26" s="21" t="n">
        <v>50</v>
      </c>
      <c r="H26" s="21" t="n">
        <v>187.5</v>
      </c>
      <c r="I26" s="21" t="n">
        <v>562.5</v>
      </c>
      <c r="J26" s="22" t="n">
        <f aca="false">F26*G26</f>
        <v>2121</v>
      </c>
      <c r="K26" s="22" t="n">
        <f aca="false">F26*H26</f>
        <v>7953.75</v>
      </c>
      <c r="L26" s="22" t="n">
        <f aca="false">F26*I26</f>
        <v>23861.25</v>
      </c>
      <c r="M26" s="5" t="s">
        <v>244</v>
      </c>
    </row>
    <row r="27" customFormat="false" ht="15" hidden="false" customHeight="false" outlineLevel="0" collapsed="false">
      <c r="A27" s="5" t="s">
        <v>558</v>
      </c>
      <c r="B27" s="5" t="s">
        <v>245</v>
      </c>
      <c r="C27" s="5" t="s">
        <v>186</v>
      </c>
      <c r="D27" s="5" t="s">
        <v>246</v>
      </c>
      <c r="E27" s="5" t="s">
        <v>188</v>
      </c>
      <c r="F27" s="21" t="n">
        <v>73.2</v>
      </c>
      <c r="G27" s="21" t="n">
        <v>40</v>
      </c>
      <c r="H27" s="21" t="n">
        <v>150</v>
      </c>
      <c r="I27" s="21" t="n">
        <v>450</v>
      </c>
      <c r="J27" s="22" t="n">
        <f aca="false">F27*G27</f>
        <v>2928</v>
      </c>
      <c r="K27" s="22" t="n">
        <f aca="false">F27*H27</f>
        <v>10980</v>
      </c>
      <c r="L27" s="22" t="n">
        <f aca="false">F27*I27</f>
        <v>32940</v>
      </c>
      <c r="M27" s="5" t="s">
        <v>247</v>
      </c>
    </row>
    <row r="28" customFormat="false" ht="15" hidden="false" customHeight="false" outlineLevel="0" collapsed="false">
      <c r="A28" s="5" t="s">
        <v>559</v>
      </c>
      <c r="B28" s="5" t="s">
        <v>249</v>
      </c>
      <c r="C28" s="5" t="s">
        <v>186</v>
      </c>
      <c r="D28" s="5" t="s">
        <v>250</v>
      </c>
      <c r="E28" s="5" t="s">
        <v>188</v>
      </c>
      <c r="F28" s="21" t="n">
        <v>6.03</v>
      </c>
      <c r="G28" s="21" t="n">
        <v>48</v>
      </c>
      <c r="H28" s="21" t="n">
        <v>216</v>
      </c>
      <c r="I28" s="21" t="n">
        <v>648</v>
      </c>
      <c r="J28" s="22" t="n">
        <f aca="false">F28*G28</f>
        <v>289.44</v>
      </c>
      <c r="K28" s="22" t="n">
        <f aca="false">F28*H28</f>
        <v>1302.48</v>
      </c>
      <c r="L28" s="22" t="n">
        <f aca="false">F28*I28</f>
        <v>3907.44</v>
      </c>
      <c r="M28" s="5" t="s">
        <v>251</v>
      </c>
    </row>
    <row r="29" customFormat="false" ht="15" hidden="false" customHeight="false" outlineLevel="0" collapsed="false">
      <c r="A29" s="5" t="s">
        <v>559</v>
      </c>
      <c r="B29" s="5" t="s">
        <v>252</v>
      </c>
      <c r="C29" s="5" t="s">
        <v>186</v>
      </c>
      <c r="D29" s="5" t="s">
        <v>253</v>
      </c>
      <c r="E29" s="5" t="s">
        <v>188</v>
      </c>
      <c r="F29" s="21" t="n">
        <v>31.79</v>
      </c>
      <c r="G29" s="21" t="n">
        <v>48</v>
      </c>
      <c r="H29" s="21" t="n">
        <v>216</v>
      </c>
      <c r="I29" s="21" t="n">
        <v>648</v>
      </c>
      <c r="J29" s="22" t="n">
        <f aca="false">F29*G29</f>
        <v>1525.92</v>
      </c>
      <c r="K29" s="22" t="n">
        <f aca="false">F29*H29</f>
        <v>6866.64</v>
      </c>
      <c r="L29" s="22" t="n">
        <f aca="false">F29*I29</f>
        <v>20599.92</v>
      </c>
      <c r="M29" s="5" t="s">
        <v>254</v>
      </c>
    </row>
    <row r="30" customFormat="false" ht="15" hidden="false" customHeight="false" outlineLevel="0" collapsed="false">
      <c r="A30" s="5" t="s">
        <v>559</v>
      </c>
      <c r="B30" s="5" t="s">
        <v>255</v>
      </c>
      <c r="C30" s="5" t="s">
        <v>186</v>
      </c>
      <c r="D30" s="5" t="s">
        <v>256</v>
      </c>
      <c r="E30" s="5" t="s">
        <v>188</v>
      </c>
      <c r="F30" s="21" t="n">
        <v>59.3</v>
      </c>
      <c r="G30" s="21" t="n">
        <v>6</v>
      </c>
      <c r="H30" s="21" t="n">
        <v>27</v>
      </c>
      <c r="I30" s="21" t="n">
        <v>81</v>
      </c>
      <c r="J30" s="22" t="n">
        <f aca="false">F30*G30</f>
        <v>355.8</v>
      </c>
      <c r="K30" s="22" t="n">
        <f aca="false">F30*H30</f>
        <v>1601.1</v>
      </c>
      <c r="L30" s="22" t="n">
        <f aca="false">F30*I30</f>
        <v>4803.3</v>
      </c>
      <c r="M30" s="5" t="s">
        <v>257</v>
      </c>
    </row>
    <row r="31" customFormat="false" ht="15" hidden="false" customHeight="false" outlineLevel="0" collapsed="false">
      <c r="A31" s="5" t="s">
        <v>559</v>
      </c>
      <c r="B31" s="5" t="s">
        <v>258</v>
      </c>
      <c r="C31" s="5" t="s">
        <v>186</v>
      </c>
      <c r="D31" s="5" t="s">
        <v>259</v>
      </c>
      <c r="E31" s="5" t="s">
        <v>188</v>
      </c>
      <c r="F31" s="21" t="n">
        <v>58.19</v>
      </c>
      <c r="G31" s="21" t="n">
        <v>20</v>
      </c>
      <c r="H31" s="21" t="n">
        <v>90</v>
      </c>
      <c r="I31" s="21" t="n">
        <v>270</v>
      </c>
      <c r="J31" s="22" t="n">
        <f aca="false">F31*G31</f>
        <v>1163.8</v>
      </c>
      <c r="K31" s="22" t="n">
        <f aca="false">F31*H31</f>
        <v>5237.1</v>
      </c>
      <c r="L31" s="22" t="n">
        <f aca="false">F31*I31</f>
        <v>15711.3</v>
      </c>
      <c r="M31" s="5" t="s">
        <v>260</v>
      </c>
    </row>
    <row r="32" customFormat="false" ht="15" hidden="false" customHeight="false" outlineLevel="0" collapsed="false">
      <c r="A32" s="5" t="s">
        <v>559</v>
      </c>
      <c r="B32" s="5" t="s">
        <v>261</v>
      </c>
      <c r="C32" s="5" t="s">
        <v>186</v>
      </c>
      <c r="D32" s="5" t="s">
        <v>262</v>
      </c>
      <c r="E32" s="5" t="s">
        <v>188</v>
      </c>
      <c r="F32" s="21" t="n">
        <v>50.14</v>
      </c>
      <c r="G32" s="21" t="n">
        <v>20</v>
      </c>
      <c r="H32" s="21" t="n">
        <v>90</v>
      </c>
      <c r="I32" s="21" t="n">
        <v>270</v>
      </c>
      <c r="J32" s="22" t="n">
        <f aca="false">F32*G32</f>
        <v>1002.8</v>
      </c>
      <c r="K32" s="22" t="n">
        <f aca="false">F32*H32</f>
        <v>4512.6</v>
      </c>
      <c r="L32" s="22" t="n">
        <f aca="false">F32*I32</f>
        <v>13537.8</v>
      </c>
      <c r="M32" s="5" t="s">
        <v>263</v>
      </c>
    </row>
    <row r="33" customFormat="false" ht="15" hidden="false" customHeight="false" outlineLevel="0" collapsed="false">
      <c r="A33" s="5" t="s">
        <v>560</v>
      </c>
      <c r="B33" s="5" t="s">
        <v>265</v>
      </c>
      <c r="C33" s="5" t="s">
        <v>186</v>
      </c>
      <c r="D33" s="5" t="s">
        <v>266</v>
      </c>
      <c r="E33" s="5" t="s">
        <v>188</v>
      </c>
      <c r="F33" s="21" t="n">
        <v>12.33</v>
      </c>
      <c r="G33" s="21" t="n">
        <v>600</v>
      </c>
      <c r="H33" s="21" t="n">
        <v>900</v>
      </c>
      <c r="I33" s="21" t="n">
        <v>1350</v>
      </c>
      <c r="J33" s="22" t="n">
        <f aca="false">F33*G33</f>
        <v>7398</v>
      </c>
      <c r="K33" s="22" t="n">
        <f aca="false">F33*H33</f>
        <v>11097</v>
      </c>
      <c r="L33" s="22" t="n">
        <f aca="false">F33*I33</f>
        <v>16645.5</v>
      </c>
      <c r="M33" s="5" t="s">
        <v>267</v>
      </c>
    </row>
    <row r="34" customFormat="false" ht="15" hidden="false" customHeight="false" outlineLevel="0" collapsed="false">
      <c r="A34" s="5" t="s">
        <v>560</v>
      </c>
      <c r="B34" s="5" t="s">
        <v>268</v>
      </c>
      <c r="C34" s="5" t="s">
        <v>186</v>
      </c>
      <c r="D34" s="5" t="s">
        <v>269</v>
      </c>
      <c r="E34" s="5" t="s">
        <v>188</v>
      </c>
      <c r="F34" s="21" t="n">
        <v>15.25</v>
      </c>
      <c r="G34" s="21" t="n">
        <v>60</v>
      </c>
      <c r="H34" s="21" t="n">
        <v>90</v>
      </c>
      <c r="I34" s="21" t="n">
        <v>135</v>
      </c>
      <c r="J34" s="22" t="n">
        <f aca="false">F34*G34</f>
        <v>915</v>
      </c>
      <c r="K34" s="22" t="n">
        <f aca="false">F34*H34</f>
        <v>1372.5</v>
      </c>
      <c r="L34" s="22" t="n">
        <f aca="false">F34*I34</f>
        <v>2058.75</v>
      </c>
      <c r="M34" s="5" t="s">
        <v>270</v>
      </c>
    </row>
    <row r="35" customFormat="false" ht="15" hidden="false" customHeight="false" outlineLevel="0" collapsed="false">
      <c r="A35" s="5" t="s">
        <v>374</v>
      </c>
      <c r="B35" s="5" t="s">
        <v>272</v>
      </c>
      <c r="C35" s="5" t="s">
        <v>186</v>
      </c>
      <c r="D35" s="5" t="s">
        <v>273</v>
      </c>
      <c r="E35" s="5" t="s">
        <v>188</v>
      </c>
      <c r="F35" s="21" t="n">
        <v>223.25</v>
      </c>
      <c r="G35" s="21" t="n">
        <v>3</v>
      </c>
      <c r="H35" s="21" t="n">
        <v>13.5</v>
      </c>
      <c r="I35" s="21" t="n">
        <v>40.5</v>
      </c>
      <c r="J35" s="22" t="n">
        <f aca="false">F35*G35</f>
        <v>669.75</v>
      </c>
      <c r="K35" s="22" t="n">
        <f aca="false">F35*H35</f>
        <v>3013.875</v>
      </c>
      <c r="L35" s="22" t="n">
        <f aca="false">F35*I35</f>
        <v>9041.625</v>
      </c>
      <c r="M35" s="5" t="s">
        <v>274</v>
      </c>
    </row>
    <row r="36" customFormat="false" ht="15" hidden="false" customHeight="false" outlineLevel="0" collapsed="false">
      <c r="A36" s="5" t="s">
        <v>374</v>
      </c>
      <c r="B36" s="5" t="s">
        <v>275</v>
      </c>
      <c r="C36" s="5" t="s">
        <v>186</v>
      </c>
      <c r="D36" s="5" t="s">
        <v>276</v>
      </c>
      <c r="E36" s="5" t="s">
        <v>277</v>
      </c>
      <c r="F36" s="21" t="n">
        <v>1179.17</v>
      </c>
      <c r="G36" s="21" t="n">
        <v>1.33</v>
      </c>
      <c r="H36" s="21" t="n">
        <v>6</v>
      </c>
      <c r="I36" s="21" t="n">
        <v>18</v>
      </c>
      <c r="J36" s="22" t="n">
        <f aca="false">F36*G36</f>
        <v>1568.2961</v>
      </c>
      <c r="K36" s="22" t="n">
        <f aca="false">F36*H36</f>
        <v>7075.02</v>
      </c>
      <c r="L36" s="22" t="n">
        <f aca="false">F36*I36</f>
        <v>21225.06</v>
      </c>
      <c r="M36" s="5" t="s">
        <v>278</v>
      </c>
    </row>
    <row r="37" customFormat="false" ht="15" hidden="false" customHeight="false" outlineLevel="0" collapsed="false">
      <c r="A37" s="5" t="s">
        <v>561</v>
      </c>
      <c r="B37" s="5" t="s">
        <v>280</v>
      </c>
      <c r="C37" s="5" t="s">
        <v>186</v>
      </c>
      <c r="D37" s="5" t="s">
        <v>281</v>
      </c>
      <c r="E37" s="5" t="s">
        <v>277</v>
      </c>
      <c r="F37" s="21" t="n">
        <v>53.69</v>
      </c>
      <c r="G37" s="21" t="n">
        <v>6.67</v>
      </c>
      <c r="H37" s="21" t="n">
        <v>25</v>
      </c>
      <c r="I37" s="21" t="n">
        <v>75</v>
      </c>
      <c r="J37" s="22" t="n">
        <f aca="false">F37*G37</f>
        <v>358.1123</v>
      </c>
      <c r="K37" s="22" t="n">
        <f aca="false">F37*H37</f>
        <v>1342.25</v>
      </c>
      <c r="L37" s="22" t="n">
        <f aca="false">F37*I37</f>
        <v>4026.75</v>
      </c>
      <c r="M37" s="5" t="s">
        <v>282</v>
      </c>
    </row>
    <row r="38" customFormat="false" ht="15" hidden="false" customHeight="false" outlineLevel="0" collapsed="false">
      <c r="A38" s="5" t="s">
        <v>561</v>
      </c>
      <c r="B38" s="5" t="s">
        <v>283</v>
      </c>
      <c r="C38" s="5" t="s">
        <v>186</v>
      </c>
      <c r="D38" s="5" t="s">
        <v>284</v>
      </c>
      <c r="E38" s="5" t="s">
        <v>277</v>
      </c>
      <c r="F38" s="21" t="n">
        <v>30.86</v>
      </c>
      <c r="G38" s="21" t="n">
        <v>5</v>
      </c>
      <c r="H38" s="21" t="n">
        <v>18.75</v>
      </c>
      <c r="I38" s="21" t="n">
        <v>56.25</v>
      </c>
      <c r="J38" s="22" t="n">
        <f aca="false">F38*G38</f>
        <v>154.3</v>
      </c>
      <c r="K38" s="22" t="n">
        <f aca="false">F38*H38</f>
        <v>578.625</v>
      </c>
      <c r="L38" s="22" t="n">
        <f aca="false">F38*I38</f>
        <v>1735.875</v>
      </c>
      <c r="M38" s="5" t="s">
        <v>285</v>
      </c>
    </row>
    <row r="39" customFormat="false" ht="15" hidden="false" customHeight="false" outlineLevel="0" collapsed="false">
      <c r="A39" s="5" t="s">
        <v>561</v>
      </c>
      <c r="B39" s="5" t="s">
        <v>286</v>
      </c>
      <c r="C39" s="5" t="s">
        <v>186</v>
      </c>
      <c r="D39" s="5" t="s">
        <v>287</v>
      </c>
      <c r="E39" s="5" t="s">
        <v>194</v>
      </c>
      <c r="F39" s="21" t="n">
        <v>5.48</v>
      </c>
      <c r="G39" s="21" t="n">
        <v>480</v>
      </c>
      <c r="H39" s="21" t="n">
        <v>1800</v>
      </c>
      <c r="I39" s="21" t="n">
        <v>5400</v>
      </c>
      <c r="J39" s="22" t="n">
        <f aca="false">F39*G39</f>
        <v>2630.4</v>
      </c>
      <c r="K39" s="22" t="n">
        <f aca="false">F39*H39</f>
        <v>9864</v>
      </c>
      <c r="L39" s="22" t="n">
        <f aca="false">F39*I39</f>
        <v>29592</v>
      </c>
      <c r="M39" s="5" t="s">
        <v>288</v>
      </c>
    </row>
    <row r="40" customFormat="false" ht="15" hidden="false" customHeight="false" outlineLevel="0" collapsed="false">
      <c r="A40" s="5" t="s">
        <v>561</v>
      </c>
      <c r="B40" s="5" t="s">
        <v>289</v>
      </c>
      <c r="C40" s="5" t="s">
        <v>186</v>
      </c>
      <c r="D40" s="5" t="s">
        <v>290</v>
      </c>
      <c r="E40" s="5" t="s">
        <v>194</v>
      </c>
      <c r="F40" s="21" t="n">
        <v>11.2</v>
      </c>
      <c r="G40" s="21" t="n">
        <v>160</v>
      </c>
      <c r="H40" s="21" t="n">
        <v>600</v>
      </c>
      <c r="I40" s="21" t="n">
        <v>1800</v>
      </c>
      <c r="J40" s="22" t="n">
        <f aca="false">F40*G40</f>
        <v>1792</v>
      </c>
      <c r="K40" s="22" t="n">
        <f aca="false">F40*H40</f>
        <v>6720</v>
      </c>
      <c r="L40" s="22" t="n">
        <f aca="false">F40*I40</f>
        <v>20160</v>
      </c>
      <c r="M40" s="5" t="s">
        <v>291</v>
      </c>
    </row>
    <row r="41" customFormat="false" ht="15" hidden="false" customHeight="false" outlineLevel="0" collapsed="false">
      <c r="A41" s="5" t="s">
        <v>561</v>
      </c>
      <c r="B41" s="5" t="s">
        <v>292</v>
      </c>
      <c r="C41" s="5" t="s">
        <v>186</v>
      </c>
      <c r="D41" s="5" t="s">
        <v>293</v>
      </c>
      <c r="E41" s="5" t="s">
        <v>277</v>
      </c>
      <c r="F41" s="21" t="n">
        <v>623.29</v>
      </c>
      <c r="G41" s="21" t="n">
        <v>1</v>
      </c>
      <c r="H41" s="21" t="n">
        <v>1</v>
      </c>
      <c r="I41" s="21" t="n">
        <v>3</v>
      </c>
      <c r="J41" s="22" t="n">
        <f aca="false">F41*G41</f>
        <v>623.29</v>
      </c>
      <c r="K41" s="22" t="n">
        <f aca="false">F41*H41</f>
        <v>623.29</v>
      </c>
      <c r="L41" s="22" t="n">
        <f aca="false">F41*I41</f>
        <v>1869.87</v>
      </c>
      <c r="M41" s="5" t="s">
        <v>294</v>
      </c>
    </row>
    <row r="42" customFormat="false" ht="15" hidden="false" customHeight="false" outlineLevel="0" collapsed="false">
      <c r="A42" s="5" t="s">
        <v>561</v>
      </c>
      <c r="B42" s="5" t="s">
        <v>295</v>
      </c>
      <c r="C42" s="5" t="s">
        <v>186</v>
      </c>
      <c r="D42" s="5" t="s">
        <v>296</v>
      </c>
      <c r="E42" s="5" t="s">
        <v>277</v>
      </c>
      <c r="F42" s="21" t="n">
        <v>630.3</v>
      </c>
      <c r="G42" s="21" t="n">
        <v>1</v>
      </c>
      <c r="H42" s="21" t="n">
        <v>3.75</v>
      </c>
      <c r="I42" s="21" t="n">
        <v>11.25</v>
      </c>
      <c r="J42" s="22" t="n">
        <f aca="false">F42*G42</f>
        <v>630.3</v>
      </c>
      <c r="K42" s="22" t="n">
        <f aca="false">F42*H42</f>
        <v>2363.625</v>
      </c>
      <c r="L42" s="22" t="n">
        <f aca="false">F42*I42</f>
        <v>7090.875</v>
      </c>
      <c r="M42" s="5" t="s">
        <v>297</v>
      </c>
    </row>
    <row r="43" customFormat="false" ht="15" hidden="false" customHeight="false" outlineLevel="0" collapsed="false">
      <c r="A43" s="5" t="s">
        <v>561</v>
      </c>
      <c r="B43" s="5" t="s">
        <v>298</v>
      </c>
      <c r="C43" s="5" t="s">
        <v>186</v>
      </c>
      <c r="D43" s="5" t="s">
        <v>299</v>
      </c>
      <c r="E43" s="5" t="s">
        <v>277</v>
      </c>
      <c r="F43" s="21" t="n">
        <v>368.02</v>
      </c>
      <c r="G43" s="21" t="n">
        <v>1</v>
      </c>
      <c r="H43" s="21" t="n">
        <v>3.75</v>
      </c>
      <c r="I43" s="21" t="n">
        <v>11.25</v>
      </c>
      <c r="J43" s="22" t="n">
        <f aca="false">F43*G43</f>
        <v>368.02</v>
      </c>
      <c r="K43" s="22" t="n">
        <f aca="false">F43*H43</f>
        <v>1380.075</v>
      </c>
      <c r="L43" s="22" t="n">
        <f aca="false">F43*I43</f>
        <v>4140.225</v>
      </c>
      <c r="M43" s="5" t="s">
        <v>300</v>
      </c>
    </row>
    <row r="44" customFormat="false" ht="15" hidden="false" customHeight="false" outlineLevel="0" collapsed="false">
      <c r="A44" s="5" t="s">
        <v>561</v>
      </c>
      <c r="B44" s="5" t="s">
        <v>301</v>
      </c>
      <c r="C44" s="5" t="s">
        <v>186</v>
      </c>
      <c r="D44" s="5" t="s">
        <v>302</v>
      </c>
      <c r="E44" s="5" t="s">
        <v>194</v>
      </c>
      <c r="F44" s="21" t="n">
        <v>43.26</v>
      </c>
      <c r="G44" s="21" t="n">
        <v>12</v>
      </c>
      <c r="H44" s="21" t="n">
        <v>45</v>
      </c>
      <c r="I44" s="21" t="n">
        <v>135</v>
      </c>
      <c r="J44" s="22" t="n">
        <f aca="false">F44*G44</f>
        <v>519.12</v>
      </c>
      <c r="K44" s="22" t="n">
        <f aca="false">F44*H44</f>
        <v>1946.7</v>
      </c>
      <c r="L44" s="22" t="n">
        <f aca="false">F44*I44</f>
        <v>5840.1</v>
      </c>
      <c r="M44" s="5" t="s">
        <v>303</v>
      </c>
    </row>
    <row r="45" customFormat="false" ht="15" hidden="false" customHeight="false" outlineLevel="0" collapsed="false">
      <c r="A45" s="5" t="s">
        <v>562</v>
      </c>
      <c r="B45" s="5" t="s">
        <v>305</v>
      </c>
      <c r="C45" s="5" t="s">
        <v>186</v>
      </c>
      <c r="D45" s="5" t="s">
        <v>306</v>
      </c>
      <c r="E45" s="5" t="s">
        <v>277</v>
      </c>
      <c r="F45" s="21" t="n">
        <v>288.1</v>
      </c>
      <c r="G45" s="21" t="n">
        <v>1.33</v>
      </c>
      <c r="H45" s="21" t="n">
        <v>2</v>
      </c>
      <c r="I45" s="21" t="n">
        <v>3</v>
      </c>
      <c r="J45" s="22" t="n">
        <f aca="false">F45*G45</f>
        <v>383.173</v>
      </c>
      <c r="K45" s="22" t="n">
        <f aca="false">F45*H45</f>
        <v>576.2</v>
      </c>
      <c r="L45" s="22" t="n">
        <f aca="false">F45*I45</f>
        <v>864.3</v>
      </c>
      <c r="M45" s="5" t="s">
        <v>307</v>
      </c>
    </row>
    <row r="46" customFormat="false" ht="15" hidden="false" customHeight="false" outlineLevel="0" collapsed="false">
      <c r="A46" s="5" t="s">
        <v>562</v>
      </c>
      <c r="B46" s="5" t="s">
        <v>308</v>
      </c>
      <c r="C46" s="5" t="s">
        <v>186</v>
      </c>
      <c r="D46" s="5" t="s">
        <v>309</v>
      </c>
      <c r="E46" s="5" t="s">
        <v>277</v>
      </c>
      <c r="F46" s="21" t="n">
        <v>17.96</v>
      </c>
      <c r="G46" s="21" t="n">
        <v>4</v>
      </c>
      <c r="H46" s="21" t="n">
        <v>6</v>
      </c>
      <c r="I46" s="21" t="n">
        <v>9</v>
      </c>
      <c r="J46" s="22" t="n">
        <f aca="false">F46*G46</f>
        <v>71.84</v>
      </c>
      <c r="K46" s="22" t="n">
        <f aca="false">F46*H46</f>
        <v>107.76</v>
      </c>
      <c r="L46" s="22" t="n">
        <f aca="false">F46*I46</f>
        <v>161.64</v>
      </c>
      <c r="M46" s="5" t="s">
        <v>310</v>
      </c>
    </row>
    <row r="47" customFormat="false" ht="15" hidden="false" customHeight="false" outlineLevel="0" collapsed="false">
      <c r="A47" s="5" t="s">
        <v>562</v>
      </c>
      <c r="B47" s="5" t="s">
        <v>311</v>
      </c>
      <c r="C47" s="5" t="s">
        <v>192</v>
      </c>
      <c r="D47" s="5" t="s">
        <v>312</v>
      </c>
      <c r="E47" s="5" t="s">
        <v>277</v>
      </c>
      <c r="F47" s="21" t="n">
        <v>20.47</v>
      </c>
      <c r="G47" s="21" t="n">
        <v>4</v>
      </c>
      <c r="H47" s="21" t="n">
        <v>6</v>
      </c>
      <c r="I47" s="21" t="n">
        <v>9</v>
      </c>
      <c r="J47" s="22" t="n">
        <f aca="false">F47*G47</f>
        <v>81.88</v>
      </c>
      <c r="K47" s="22" t="n">
        <f aca="false">F47*H47</f>
        <v>122.82</v>
      </c>
      <c r="L47" s="22" t="n">
        <f aca="false">F47*I47</f>
        <v>184.23</v>
      </c>
      <c r="M47" s="5" t="s">
        <v>313</v>
      </c>
    </row>
    <row r="48" customFormat="false" ht="15" hidden="false" customHeight="false" outlineLevel="0" collapsed="false">
      <c r="A48" s="5" t="s">
        <v>563</v>
      </c>
      <c r="B48" s="5" t="s">
        <v>315</v>
      </c>
      <c r="C48" s="5" t="s">
        <v>186</v>
      </c>
      <c r="D48" s="5" t="s">
        <v>316</v>
      </c>
      <c r="E48" s="5" t="s">
        <v>317</v>
      </c>
      <c r="F48" s="21" t="n">
        <v>9.88</v>
      </c>
      <c r="G48" s="21" t="n">
        <v>10</v>
      </c>
      <c r="H48" s="21" t="n">
        <v>15</v>
      </c>
      <c r="I48" s="21" t="n">
        <v>22.5</v>
      </c>
      <c r="J48" s="22" t="n">
        <f aca="false">F48*G48</f>
        <v>98.8</v>
      </c>
      <c r="K48" s="22" t="n">
        <f aca="false">F48*H48</f>
        <v>148.2</v>
      </c>
      <c r="L48" s="22" t="n">
        <f aca="false">F48*I48</f>
        <v>222.3</v>
      </c>
      <c r="M48" s="5" t="s">
        <v>318</v>
      </c>
    </row>
    <row r="49" customFormat="false" ht="15" hidden="false" customHeight="false" outlineLevel="0" collapsed="false">
      <c r="A49" s="5" t="s">
        <v>563</v>
      </c>
      <c r="B49" s="5" t="s">
        <v>319</v>
      </c>
      <c r="C49" s="5" t="s">
        <v>186</v>
      </c>
      <c r="D49" s="5" t="s">
        <v>320</v>
      </c>
      <c r="E49" s="5" t="s">
        <v>321</v>
      </c>
      <c r="F49" s="21" t="n">
        <v>2.83</v>
      </c>
      <c r="G49" s="21" t="n">
        <v>100</v>
      </c>
      <c r="H49" s="21" t="n">
        <v>150</v>
      </c>
      <c r="I49" s="21" t="n">
        <v>225</v>
      </c>
      <c r="J49" s="22" t="n">
        <f aca="false">F49*G49</f>
        <v>283</v>
      </c>
      <c r="K49" s="22" t="n">
        <f aca="false">F49*H49</f>
        <v>424.5</v>
      </c>
      <c r="L49" s="22" t="n">
        <f aca="false">F49*I49</f>
        <v>636.75</v>
      </c>
      <c r="M49" s="5" t="s">
        <v>322</v>
      </c>
    </row>
    <row r="50" customFormat="false" ht="15" hidden="false" customHeight="false" outlineLevel="0" collapsed="false">
      <c r="A50" s="5" t="s">
        <v>562</v>
      </c>
      <c r="B50" s="5" t="s">
        <v>877</v>
      </c>
      <c r="C50" s="5" t="s">
        <v>186</v>
      </c>
      <c r="D50" s="5" t="s">
        <v>878</v>
      </c>
      <c r="E50" s="5" t="s">
        <v>277</v>
      </c>
      <c r="F50" s="21" t="n">
        <v>1253.09</v>
      </c>
      <c r="G50" s="21" t="n">
        <v>1</v>
      </c>
      <c r="H50" s="21" t="n">
        <v>1</v>
      </c>
      <c r="I50" s="21" t="n">
        <v>2</v>
      </c>
      <c r="J50" s="22" t="n">
        <f aca="false">F50*G50</f>
        <v>1253.09</v>
      </c>
      <c r="K50" s="22" t="n">
        <f aca="false">F50*H50</f>
        <v>1253.09</v>
      </c>
      <c r="L50" s="22" t="n">
        <f aca="false">F50*I50</f>
        <v>2506.18</v>
      </c>
      <c r="M50" s="5" t="s">
        <v>879</v>
      </c>
    </row>
    <row r="51" customFormat="false" ht="15" hidden="false" customHeight="false" outlineLevel="0" collapsed="false">
      <c r="I51" s="7" t="s">
        <v>323</v>
      </c>
      <c r="J51" s="23" t="n">
        <f aca="false">SUM(J18:J50)</f>
        <v>35480.8114</v>
      </c>
      <c r="K51" s="23" t="n">
        <f aca="false">SUM(K18:K50)</f>
        <v>104912.74</v>
      </c>
      <c r="L51" s="23" t="n">
        <f aca="false">SUM(L18:L50)</f>
        <v>287252.02</v>
      </c>
    </row>
    <row r="52" customFormat="false" ht="15" hidden="false" customHeight="false" outlineLevel="0" collapsed="false">
      <c r="I52" s="7" t="s">
        <v>324</v>
      </c>
      <c r="J52" s="24" t="n">
        <f aca="false">PARAMETROS!$B$6</f>
        <v>0.2034</v>
      </c>
      <c r="K52" s="24" t="n">
        <f aca="false">PARAMETROS!$C$6</f>
        <v>0.2212</v>
      </c>
      <c r="L52" s="24" t="n">
        <f aca="false">PARAMETROS!$D$6</f>
        <v>0.25</v>
      </c>
    </row>
    <row r="53" customFormat="false" ht="15" hidden="false" customHeight="false" outlineLevel="0" collapsed="false">
      <c r="I53" s="7" t="s">
        <v>325</v>
      </c>
      <c r="J53" s="24" t="n">
        <f aca="false">PARAMETROS!$B$8</f>
        <v>0.05</v>
      </c>
      <c r="K53" s="24" t="n">
        <f aca="false">PARAMETROS!$C$8</f>
        <v>0.1</v>
      </c>
      <c r="L53" s="24" t="n">
        <f aca="false">PARAMETROS!$D$8</f>
        <v>0.15</v>
      </c>
    </row>
    <row r="54" customFormat="false" ht="15" hidden="false" customHeight="false" outlineLevel="0" collapsed="false">
      <c r="I54" s="7" t="s">
        <v>155</v>
      </c>
      <c r="J54" s="25" t="n">
        <f aca="false">PARAMETROS!$B$9</f>
        <v>1</v>
      </c>
      <c r="K54" s="25" t="n">
        <f aca="false">PARAMETROS!$C$9</f>
        <v>1</v>
      </c>
      <c r="L54" s="25" t="n">
        <f aca="false">PARAMETROS!$D$9</f>
        <v>1.1</v>
      </c>
    </row>
    <row r="55" customFormat="false" ht="15" hidden="false" customHeight="false" outlineLevel="0" collapsed="false">
      <c r="I55" s="7" t="s">
        <v>326</v>
      </c>
      <c r="J55" s="8" t="n">
        <f aca="false">J51*(1+J52)*(1+J53)*J54</f>
        <v>44832.488860698</v>
      </c>
      <c r="K55" s="8" t="n">
        <f aca="false">K51*(1+K52)*(1+K53)*K54</f>
        <v>140931.3818968</v>
      </c>
      <c r="L55" s="8" t="n">
        <f aca="false">L51*(1+L52)*(1+L53)*L54</f>
        <v>454217.256625</v>
      </c>
    </row>
    <row r="57" customFormat="false" ht="15" hidden="false" customHeight="false" outlineLevel="0" collapsed="false">
      <c r="A57" s="2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0"/>
  </cols>
  <sheetData>
    <row r="1" customFormat="false" ht="15" hidden="false" customHeight="false" outlineLevel="0" collapsed="false">
      <c r="A1" s="1" t="s">
        <v>880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9" t="s">
        <v>881</v>
      </c>
      <c r="B4" s="9" t="s">
        <v>882</v>
      </c>
      <c r="C4" s="9" t="s">
        <v>883</v>
      </c>
    </row>
    <row r="5" customFormat="false" ht="23.85" hidden="false" customHeight="false" outlineLevel="0" collapsed="false">
      <c r="A5" s="27" t="s">
        <v>884</v>
      </c>
      <c r="B5" s="27" t="s">
        <v>885</v>
      </c>
      <c r="C5" s="27" t="s">
        <v>886</v>
      </c>
    </row>
    <row r="6" customFormat="false" ht="23.85" hidden="false" customHeight="false" outlineLevel="0" collapsed="false">
      <c r="A6" s="27" t="s">
        <v>887</v>
      </c>
      <c r="B6" s="27" t="s">
        <v>888</v>
      </c>
      <c r="C6" s="27" t="s">
        <v>889</v>
      </c>
    </row>
    <row r="7" customFormat="false" ht="23.85" hidden="false" customHeight="false" outlineLevel="0" collapsed="false">
      <c r="A7" s="27" t="s">
        <v>890</v>
      </c>
      <c r="B7" s="27" t="s">
        <v>891</v>
      </c>
      <c r="C7" s="27" t="s">
        <v>892</v>
      </c>
    </row>
    <row r="8" customFormat="false" ht="23.85" hidden="false" customHeight="false" outlineLevel="0" collapsed="false">
      <c r="A8" s="27" t="s">
        <v>893</v>
      </c>
      <c r="B8" s="27" t="s">
        <v>894</v>
      </c>
      <c r="C8" s="27" t="s">
        <v>895</v>
      </c>
    </row>
    <row r="9" customFormat="false" ht="23.85" hidden="false" customHeight="false" outlineLevel="0" collapsed="false">
      <c r="A9" s="27" t="s">
        <v>896</v>
      </c>
      <c r="B9" s="27" t="s">
        <v>897</v>
      </c>
      <c r="C9" s="27" t="s">
        <v>898</v>
      </c>
    </row>
    <row r="10" customFormat="false" ht="15" hidden="false" customHeight="false" outlineLevel="0" collapsed="false">
      <c r="A10" s="27" t="s">
        <v>899</v>
      </c>
      <c r="B10" s="27" t="s">
        <v>900</v>
      </c>
      <c r="C10" s="27" t="s">
        <v>901</v>
      </c>
    </row>
    <row r="11" customFormat="false" ht="15" hidden="false" customHeight="false" outlineLevel="0" collapsed="false">
      <c r="A11" s="27" t="s">
        <v>902</v>
      </c>
      <c r="B11" s="27" t="s">
        <v>900</v>
      </c>
      <c r="C11" s="27" t="s">
        <v>903</v>
      </c>
    </row>
    <row r="12" customFormat="false" ht="15" hidden="false" customHeight="false" outlineLevel="0" collapsed="false">
      <c r="A12" s="27" t="s">
        <v>904</v>
      </c>
      <c r="B12" s="27" t="s">
        <v>900</v>
      </c>
      <c r="C12" s="27" t="s">
        <v>905</v>
      </c>
    </row>
    <row r="13" customFormat="false" ht="23.85" hidden="false" customHeight="false" outlineLevel="0" collapsed="false">
      <c r="A13" s="27" t="s">
        <v>906</v>
      </c>
      <c r="B13" s="27" t="s">
        <v>900</v>
      </c>
      <c r="C13" s="27" t="s">
        <v>907</v>
      </c>
    </row>
    <row r="14" customFormat="false" ht="15" hidden="false" customHeight="false" outlineLevel="0" collapsed="false">
      <c r="A14" s="27" t="s">
        <v>908</v>
      </c>
      <c r="B14" s="27" t="s">
        <v>900</v>
      </c>
      <c r="C14" s="27" t="s">
        <v>909</v>
      </c>
    </row>
    <row r="15" customFormat="false" ht="23.85" hidden="false" customHeight="false" outlineLevel="0" collapsed="false">
      <c r="A15" s="27" t="s">
        <v>910</v>
      </c>
      <c r="B15" s="27" t="s">
        <v>911</v>
      </c>
      <c r="C15" s="27" t="s">
        <v>912</v>
      </c>
    </row>
    <row r="16" customFormat="false" ht="23.85" hidden="false" customHeight="false" outlineLevel="0" collapsed="false">
      <c r="A16" s="27" t="s">
        <v>913</v>
      </c>
      <c r="B16" s="27" t="s">
        <v>911</v>
      </c>
      <c r="C16" s="27" t="s">
        <v>914</v>
      </c>
    </row>
    <row r="17" customFormat="false" ht="15" hidden="false" customHeight="false" outlineLevel="0" collapsed="false">
      <c r="A17" s="27" t="s">
        <v>915</v>
      </c>
      <c r="B17" s="27" t="s">
        <v>916</v>
      </c>
      <c r="C17" s="27" t="s">
        <v>917</v>
      </c>
    </row>
    <row r="18" customFormat="false" ht="23.85" hidden="false" customHeight="false" outlineLevel="0" collapsed="false">
      <c r="A18" s="27" t="s">
        <v>918</v>
      </c>
      <c r="B18" s="27" t="s">
        <v>885</v>
      </c>
      <c r="C18" s="27" t="s">
        <v>919</v>
      </c>
    </row>
    <row r="19" customFormat="false" ht="15" hidden="false" customHeight="false" outlineLevel="0" collapsed="false">
      <c r="A19" s="27" t="s">
        <v>920</v>
      </c>
      <c r="B19" s="27" t="s">
        <v>897</v>
      </c>
      <c r="C19" s="27" t="s">
        <v>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922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27" t="s">
        <v>923</v>
      </c>
    </row>
    <row r="5" customFormat="false" ht="15" hidden="false" customHeight="false" outlineLevel="0" collapsed="false">
      <c r="A5" s="27" t="s">
        <v>924</v>
      </c>
    </row>
    <row r="6" customFormat="false" ht="15" hidden="false" customHeight="false" outlineLevel="0" collapsed="false">
      <c r="A6" s="27" t="s">
        <v>925</v>
      </c>
    </row>
    <row r="7" customFormat="false" ht="15" hidden="false" customHeight="false" outlineLevel="0" collapsed="false">
      <c r="A7" s="27" t="s">
        <v>926</v>
      </c>
    </row>
    <row r="8" customFormat="false" ht="15" hidden="false" customHeight="false" outlineLevel="0" collapsed="false">
      <c r="A8" s="27" t="s">
        <v>927</v>
      </c>
    </row>
    <row r="9" customFormat="false" ht="15" hidden="false" customHeight="false" outlineLevel="0" collapsed="false">
      <c r="A9" s="27" t="s">
        <v>928</v>
      </c>
    </row>
    <row r="10" customFormat="false" ht="23.85" hidden="false" customHeight="false" outlineLevel="0" collapsed="false">
      <c r="A10" s="27" t="s">
        <v>929</v>
      </c>
    </row>
    <row r="11" customFormat="false" ht="15" hidden="false" customHeight="false" outlineLevel="0" collapsed="false">
      <c r="A11" s="27" t="s">
        <v>930</v>
      </c>
    </row>
    <row r="12" customFormat="false" ht="15" hidden="false" customHeight="false" outlineLevel="0" collapsed="false">
      <c r="A12" s="27" t="s">
        <v>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2026-10-13T15:58:12Z</dcterms:created>
  <dc:creator>openpyxl</dc:creator>
  <dc:description/>
  <dc:language>en-US</dc:language>
  <cp:lastModifiedBy/>
  <dcterms:modified xsi:type="dcterms:W3CDTF">2026-10-13T15:58:13Z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